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1d10ffe8c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erfil" sheetId="1" r:id="R439f7809ac924dc4"/>
    <x:sheet xmlns:r="http://schemas.openxmlformats.org/officeDocument/2006/relationships" name="02_Catalogo_Visible" sheetId="2" r:id="R780f869c84374211"/>
    <x:sheet xmlns:r="http://schemas.openxmlformats.org/officeDocument/2006/relationships" name="03_Detalle_Productos" sheetId="3" r:id="Re814ae937dec4f9e"/>
    <x:sheet xmlns:r="http://schemas.openxmlformats.org/officeDocument/2006/relationships" name="04_Pendientes_Data" sheetId="4" r:id="R5a0085ba1316440c"/>
    <x:sheet xmlns:r="http://schemas.openxmlformats.org/officeDocument/2006/relationships" name="05_Listas" sheetId="5" r:id="R845241ac31d2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$ #,##0"/>
    <x:numFmt numFmtId="202" formatCode="0.0%"/>
    <x:numFmt numFmtId="203" formatCode="0"/>
    <x:numFmt numFmtId="204" formatCode="#,##0"/>
    <x:numFmt numFmtId="205" formatCode="0.00%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7A00"/>
      </x:patternFill>
    </x:fill>
    <x:fill>
      <x:patternFill patternType="solid">
        <x:fgColor rgb="1F293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E2F0D9"/>
      </x:patternFill>
    </x:fill>
    <x:fill>
      <x:patternFill patternType="solid">
        <x:fgColor rgb="FFF4E6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horizontal="center" vertical="top" wrapText="1"/>
    </x:xf>
    <x:xf numFmtId="203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203" fontId="0" fillId="5" borderId="0" xfId="0" applyNumberFormat="1" applyFont="1" applyFill="1" applyBorder="1" applyAlignment="1">
      <x:alignment horizontal="center" vertical="top" wrapText="1"/>
    </x:xf>
    <x:xf numFmtId="201" fontId="0" fillId="5" borderId="0" xfId="0" applyNumberFormat="1" applyFont="1" applyFill="1" applyBorder="1" applyAlignment="1">
      <x:alignment horizontal="center" vertical="top" wrapText="1"/>
    </x:xf>
    <x:xf numFmtId="202" fontId="0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203" fontId="0" fillId="6" borderId="0" xfId="0" applyNumberFormat="1" applyFont="1" applyFill="1" applyBorder="1" applyAlignment="1">
      <x:alignment horizontal="center" vertical="top" wrapText="1"/>
    </x:xf>
    <x:xf numFmtId="201" fontId="0" fillId="6" borderId="0" xfId="0" applyNumberFormat="1" applyFont="1" applyFill="1" applyBorder="1" applyAlignment="1">
      <x:alignment horizontal="center" vertical="top" wrapText="1"/>
    </x:xf>
    <x:xf numFmtId="202" fontId="0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203" fontId="0" fillId="7" borderId="0" xfId="0" applyNumberFormat="1" applyFont="1" applyFill="1" applyBorder="1" applyAlignment="1">
      <x:alignment horizontal="center" vertical="top" wrapText="1"/>
    </x:xf>
    <x:xf numFmtId="201" fontId="0" fillId="7" borderId="0" xfId="0" applyNumberFormat="1" applyFont="1" applyFill="1" applyBorder="1" applyAlignment="1">
      <x:alignment horizontal="center" vertical="top" wrapText="1"/>
    </x:xf>
    <x:xf numFmtId="202" fontId="0" fillId="7" borderId="0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 applyAlignment="1">
      <x:alignment vertical="top" wrapText="1"/>
    </x:xf>
    <x:xf numFmtId="201" fontId="0" fillId="8" borderId="0" xfId="0" applyNumberFormat="1" applyFont="1" applyFill="1" applyBorder="1" applyAlignment="1">
      <x:alignment vertical="top" wrapText="1"/>
    </x:xf>
    <x:xf numFmtId="202" fontId="0" fillId="8" borderId="0" xfId="0" applyNumberFormat="1" applyFont="1" applyFill="1" applyBorder="1" applyAlignment="1">
      <x:alignment vertical="top" wrapText="1"/>
    </x:xf>
    <x:xf numFmtId="203" fontId="0" fillId="8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 applyAlignment="1">
      <x:alignment wrapText="1"/>
    </x:xf>
    <x:xf numFmtId="202" fontId="0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201" fontId="3" fillId="10" borderId="0" xfId="0" applyNumberFormat="1" applyFont="1" applyFill="1" applyBorder="1" applyAlignment="1">
      <x:alignment wrapText="1"/>
    </x:xf>
    <x:xf numFmtId="202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top" wrapText="1"/>
    </x:xf>
    <x:xf numFmtId="201" fontId="3" fillId="10" borderId="0" xfId="0" applyNumberFormat="1" applyFont="1" applyFill="1" applyBorder="1" applyAlignment="1">
      <x:alignment vertical="top" wrapText="1"/>
    </x:xf>
    <x:xf numFmtId="202" fontId="3" fillId="10" borderId="0" xfId="0" applyNumberFormat="1" applyFont="1" applyFill="1" applyBorder="1" applyAlignment="1">
      <x:alignment vertical="top" wrapText="1"/>
    </x:xf>
    <x:xf numFmtId="204" fontId="3" fillId="10" borderId="0" xfId="0" applyNumberFormat="1" applyFont="1" applyFill="1" applyBorder="1" applyAlignment="1">
      <x:alignment vertical="top" wrapText="1"/>
    </x:xf>
    <x:xf numFmtId="205" fontId="3" fillId="10" borderId="0" xfId="0" applyNumberFormat="1" applyFont="1" applyFill="1" applyBorder="1" applyAlignment="1">
      <x:alignment vertical="top" wrapText="1"/>
    </x:xf>
    <x:xf numFmtId="203" fontId="3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feba79e0946f0" /><Relationship Type="http://schemas.openxmlformats.org/officeDocument/2006/relationships/theme" Target="/xl/theme/theme1.xml" Id="Rfcaae4273b434c93" /><Relationship Type="http://schemas.openxmlformats.org/officeDocument/2006/relationships/sharedStrings" Target="/xl/sharedStrings.xml" Id="R831ac0e2a4e141e3" /><Relationship Type="http://schemas.openxmlformats.org/officeDocument/2006/relationships/worksheet" Target="/xl/worksheets/sheet1.xml" Id="R439f7809ac924dc4" /><Relationship Type="http://schemas.openxmlformats.org/officeDocument/2006/relationships/worksheet" Target="/xl/worksheets/sheet2.xml" Id="R780f869c84374211" /><Relationship Type="http://schemas.openxmlformats.org/officeDocument/2006/relationships/worksheet" Target="/xl/worksheets/sheet3.xml" Id="Re814ae937dec4f9e" /><Relationship Type="http://schemas.openxmlformats.org/officeDocument/2006/relationships/worksheet" Target="/xl/worksheets/sheet4.xml" Id="R5a0085ba1316440c" /><Relationship Type="http://schemas.openxmlformats.org/officeDocument/2006/relationships/worksheet" Target="/xl/worksheets/sheet5.xml" Id="R845241ac31d24d0b" /></Relationships>
</file>

<file path=xl/tables/table1.xml><?xml version="1.0" encoding="utf-8"?>
<x:table xmlns:x="http://schemas.openxmlformats.org/spreadsheetml/2006/main" id="1" name="TblCatalogoVisible" displayName="TblCatalogoVisible" ref="A1:N151" headerRowCount="1">
  <x:tableColumns count="14">
    <x:tableColumn id="1" name="ID fila"/>
    <x:tableColumn id="2" name="Producto visible"/>
    <x:tableColumn id="3" name="Categoría visible/inferida"/>
    <x:tableColumn id="4" name="Proveedor"/>
    <x:tableColumn id="5" name="Stock visible"/>
    <x:tableColumn id="6" name="Precio proveedor"/>
    <x:tableColumn id="7" name="Precio sugerido"/>
    <x:tableColumn id="8" name="Margen valor"/>
    <x:tableColumn id="9" name="Margen %"/>
    <x:tableColumn id="10" name="Estado visible"/>
    <x:tableColumn id="11" name="Tipo/etiqueta visible"/>
    <x:tableColumn id="12" name="Bodega visible"/>
    <x:tableColumn id="13" name="Fuente"/>
    <x:tableColumn id="14" name="Notas crudas"/>
  </x:tableColumns>
  <x:tableStyleInfo name="TableStyleMedium2" showRowStripes="1"/>
</x:table>
</file>

<file path=xl/tables/table2.xml><?xml version="1.0" encoding="utf-8"?>
<x:table xmlns:x="http://schemas.openxmlformats.org/spreadsheetml/2006/main" id="2" name="TblDetalleProductos" displayName="TblDetalleProductos" ref="A1:T41" headerRowCount="1">
  <x:tableColumns count="20">
    <x:tableColumn id="1" name="ID captura"/>
    <x:tableColumn id="2" name="Producto"/>
    <x:tableColumn id="3" name="ID producto"/>
    <x:tableColumn id="4" name="SKU"/>
    <x:tableColumn id="5" name="Categoría(s)"/>
    <x:tableColumn id="6" name="Tipo producto"/>
    <x:tableColumn id="7" name="Bodega"/>
    <x:tableColumn id="8" name="Stock visible"/>
    <x:tableColumn id="9" name="Stock privado"/>
    <x:tableColumn id="10" name="Precio proveedor"/>
    <x:tableColumn id="11" name="Precio sugerido"/>
    <x:tableColumn id="12" name="Margen valor"/>
    <x:tableColumn id="13" name="Margen %"/>
    <x:tableColumn id="14" name="# imágenes visibles"/>
    <x:tableColumn id="15" name="Descripción visible"/>
    <x:tableColumn id="16" name="Descripción supera screenshot"/>
    <x:tableColumn id="17" name="Contenido / calidad"/>
    <x:tableColumn id="18" name="Garantía / política visible"/>
    <x:tableColumn id="19" name="Recursos adicionales visibles"/>
    <x:tableColumn id="20" name="Notas crudas"/>
  </x:tableColumns>
  <x:tableStyleInfo name="TableStyleMedium2" showRowStripes="1"/>
</x:table>
</file>

<file path=xl/tables/table3.xml><?xml version="1.0" encoding="utf-8"?>
<x:table xmlns:x="http://schemas.openxmlformats.org/spreadsheetml/2006/main" id="3" name="TblPendientesData" displayName="TblPendientesData" ref="A1:E15" headerRowCount="1">
  <x:tableColumns count="5">
    <x:tableColumn id="1" name="Dato faltante"/>
    <x:tableColumn id="2" name="Nivel"/>
    <x:tableColumn id="3" name="Cómo obtenerlo"/>
    <x:tableColumn id="4" name="Estado"/>
    <x:tableColumn id="5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c54c78f5e41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596b27de384c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bcf606c8994ca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4" hidden="0" customWidth="1"/>
    <x:col min="4" max="4" width="16" hidden="0" customWidth="1"/>
    <x:col min="5" max="5" width="34" hidden="0" customWidth="1"/>
  </x:cols>
  <x:sheetData>
    <x:row r="1" ht="16.799999237060547" hidden="0" customHeight="1">
      <x:c r="A1" s="5" t="str">
        <x:v>Levantamiento proveedor - OH HOMIE / NAYIVER Hincapié</x:v>
      </x:c>
    </x:row>
    <x:row r="2"/>
    <x:row r="3" ht="15" hidden="0" customHeight="1">
      <x:c r="A3" s="14" t="str">
        <x:v>Campo</x:v>
      </x:c>
      <x:c r="B3" s="14" t="str">
        <x:v>Dato visible</x:v>
      </x:c>
      <x:c r="C3" s="14" t="str">
        <x:v>Fuente</x:v>
      </x:c>
      <x:c r="D3" s="14" t="str">
        <x:v>Estado</x:v>
      </x:c>
      <x:c r="E3" s="14" t="str">
        <x:v>Notas</x:v>
      </x:c>
    </x:row>
    <x:row r="4" ht="15" hidden="0" customHeight="1">
      <x:c r="A4" s="18" t="str">
        <x:v>Proveedor</x:v>
      </x:c>
      <x:c r="B4" s="18" t="str">
        <x:v>OH HOMIE</x:v>
      </x:c>
      <x:c r="C4" s="18" t="str">
        <x:v>Pantallazo perfil proveedor</x:v>
      </x:c>
      <x:c r="D4" s="18" t="str">
        <x:v>Capturado</x:v>
      </x:c>
      <x:c r="E4" s="18" t="str"/>
    </x:row>
    <x:row r="5" ht="15" hidden="0" customHeight="1">
      <x:c r="A5" s="18" t="str">
        <x:v>Responsable / dueño visible</x:v>
      </x:c>
      <x:c r="B5" s="18" t="str">
        <x:v>NAYIVER Hincapié</x:v>
      </x:c>
      <x:c r="C5" s="18" t="str">
        <x:v>Mensaje usuario</x:v>
      </x:c>
      <x:c r="D5" s="18" t="str">
        <x:v>Capturado</x:v>
      </x:c>
      <x:c r="E5" s="18" t="str"/>
    </x:row>
    <x:row r="6" ht="15" hidden="0" customHeight="1">
      <x:c r="A6" s="18" t="str">
        <x:v>Tipo visible</x:v>
      </x:c>
      <x:c r="B6" s="18" t="str">
        <x:v>Exclusivo</x:v>
      </x:c>
      <x:c r="C6" s="18" t="str">
        <x:v>Pantallazo perfil proveedor</x:v>
      </x:c>
      <x:c r="D6" s="18" t="str">
        <x:v>Capturado</x:v>
      </x:c>
      <x:c r="E6" s="18" t="str"/>
    </x:row>
    <x:row r="7" ht="15" hidden="0" customHeight="1">
      <x:c r="A7" s="18" t="str">
        <x:v>En Dropi desde</x:v>
      </x:c>
      <x:c r="B7" s="18" t="str">
        <x:v>10/01/2024</x:v>
      </x:c>
      <x:c r="C7" s="18" t="str">
        <x:v>Pantallazo perfil proveedor</x:v>
      </x:c>
      <x:c r="D7" s="18" t="str">
        <x:v>Capturado</x:v>
      </x:c>
      <x:c r="E7" s="18" t="str"/>
    </x:row>
    <x:row r="8" ht="15" hidden="0" customHeight="1">
      <x:c r="A8" s="18" t="str">
        <x:v>Última conexión</x:v>
      </x:c>
      <x:c r="B8" s="18" t="str">
        <x:v>Hoy</x:v>
      </x:c>
      <x:c r="C8" s="18" t="str">
        <x:v>Pantallazo perfil proveedor</x:v>
      </x:c>
      <x:c r="D8" s="18" t="str">
        <x:v>Capturado</x:v>
      </x:c>
      <x:c r="E8" s="18" t="str"/>
    </x:row>
    <x:row r="9" ht="15" hidden="0" customHeight="1">
      <x:c r="A9" s="18" t="str">
        <x:v>Productos reportados</x:v>
      </x:c>
      <x:c r="B9" s="18" t="n">
        <x:v>1788</x:v>
      </x:c>
      <x:c r="C9" s="18" t="str">
        <x:v>Pantallazo perfil proveedor</x:v>
      </x:c>
      <x:c r="D9" s="18" t="str">
        <x:v>Capturado</x:v>
      </x:c>
      <x:c r="E9" s="18" t="str"/>
    </x:row>
    <x:row r="10" ht="15" hidden="0" customHeight="1">
      <x:c r="A10" s="18" t="str">
        <x:v>Órdenes históricas</x:v>
      </x:c>
      <x:c r="B10" s="18" t="n">
        <x:v>231781</x:v>
      </x:c>
      <x:c r="C10" s="18" t="str">
        <x:v>Pantallazo perfil proveedor</x:v>
      </x:c>
      <x:c r="D10" s="18" t="str">
        <x:v>Capturado</x:v>
      </x:c>
      <x:c r="E10" s="18" t="str"/>
    </x:row>
    <x:row r="11" ht="15" hidden="0" customHeight="1">
      <x:c r="A11" s="18" t="str">
        <x:v>Dropshippers</x:v>
      </x:c>
      <x:c r="B11" s="18" t="n">
        <x:v>5501</x:v>
      </x:c>
      <x:c r="C11" s="18" t="str">
        <x:v>Pantallazo perfil proveedor</x:v>
      </x:c>
      <x:c r="D11" s="18" t="str">
        <x:v>Capturado</x:v>
      </x:c>
      <x:c r="E11" s="18" t="str"/>
    </x:row>
    <x:row r="12" ht="15" hidden="0" customHeight="1">
      <x:c r="A12" s="18" t="str">
        <x:v>Tiempo despacho</x:v>
      </x:c>
      <x:c r="B12" s="18" t="str">
        <x:v>5 h</x:v>
      </x:c>
      <x:c r="C12" s="18" t="str">
        <x:v>Pantallazo perfil proveedor</x:v>
      </x:c>
      <x:c r="D12" s="18" t="str">
        <x:v>Capturado</x:v>
      </x:c>
      <x:c r="E12" s="18" t="str"/>
    </x:row>
    <x:row r="13" ht="15" hidden="0" customHeight="1">
      <x:c r="A13" s="18" t="str">
        <x:v>Bodegas visibles</x:v>
      </x:c>
      <x:c r="B13" s="18" t="str">
        <x:v>Bogotá</x:v>
      </x:c>
      <x:c r="C13" s="18" t="str">
        <x:v>Pantallazo perfil proveedor</x:v>
      </x:c>
      <x:c r="D13" s="18" t="str">
        <x:v>Capturado</x:v>
      </x:c>
      <x:c r="E13" s="18" t="str"/>
    </x:row>
    <x:row r="14" ht="15" hidden="0" customHeight="1">
      <x:c r="A14" s="18" t="str">
        <x:v>Calificación últimos 30 días</x:v>
      </x:c>
      <x:c r="B14" s="18" t="str">
        <x:v>Óptima</x:v>
      </x:c>
      <x:c r="C14" s="18" t="str">
        <x:v>Pantallazo perfil proveedor</x:v>
      </x:c>
      <x:c r="D14" s="18" t="str">
        <x:v>Capturado</x:v>
      </x:c>
      <x:c r="E14" s="18" t="str"/>
    </x:row>
    <x:row r="15" ht="15" hidden="0" customHeight="1">
      <x:c r="A15" s="18" t="str">
        <x:v>Despachos</x:v>
      </x:c>
      <x:c r="B15" s="18" t="str">
        <x:v>Envía rápido y sin demoras</x:v>
      </x:c>
      <x:c r="C15" s="18" t="str">
        <x:v>Pantallazo perfil proveedor</x:v>
      </x:c>
      <x:c r="D15" s="18" t="str">
        <x:v>Capturado</x:v>
      </x:c>
      <x:c r="E15" s="18" t="str"/>
    </x:row>
    <x:row r="16" ht="15" hidden="0" customHeight="1">
      <x:c r="A16" s="18" t="str">
        <x:v>Cumplimiento</x:v>
      </x:c>
      <x:c r="B16" s="18" t="str">
        <x:v>Pocos rechazos y cancelaciones</x:v>
      </x:c>
      <x:c r="C16" s="18" t="str">
        <x:v>Pantallazo perfil proveedor</x:v>
      </x:c>
      <x:c r="D16" s="18" t="str">
        <x:v>Capturado</x:v>
      </x:c>
      <x:c r="E16" s="18" t="str"/>
    </x:row>
    <x:row r="17" ht="26.399999618530273" hidden="0" customHeight="1">
      <x:c r="A17" s="18" t="str">
        <x:v>Postventa</x:v>
      </x:c>
      <x:c r="B17" s="18" t="str">
        <x:v>Muy pocos reclamos y atención rápida</x:v>
      </x:c>
      <x:c r="C17" s="18" t="str">
        <x:v>Pantallazo perfil proveedor</x:v>
      </x:c>
      <x:c r="D17" s="18" t="str">
        <x:v>Capturado</x:v>
      </x:c>
      <x:c r="E17" s="18" t="str"/>
    </x:row>
    <x:row r="18" ht="39.599998474121094" hidden="0" customHeight="1">
      <x:c r="A18" s="18" t="str">
        <x:v>Observación de método</x:v>
      </x:c>
      <x:c r="B18" s="18" t="str">
        <x:v>Levantamiento manual por pantallazos del feed y detalle de producto</x:v>
      </x:c>
      <x:c r="C18" s="18" t="str">
        <x:v>Conversación</x:v>
      </x:c>
      <x:c r="D18" s="18" t="str">
        <x:v>Capturado</x:v>
      </x:c>
      <x:c r="E18" s="18" t="str"/>
    </x:row>
    <x:row r="19"/>
    <x:row r="20" ht="15" hidden="0" customHeight="1">
      <x:c r="A20" s="14" t="str">
        <x:v>Métrica derivada</x:v>
      </x:c>
      <x:c r="B20" s="14" t="str">
        <x:v>Fórmula</x:v>
      </x:c>
    </x:row>
    <x:row r="21" ht="15" hidden="0" customHeight="1">
      <x:c r="A21" s="18" t="str">
        <x:v>Órdenes por producto</x:v>
      </x:c>
      <x:c r="B21" s="20" t="n">
        <x:f>B10/B9</x:f>
        <x:v>129.6314317673378</x:v>
      </x:c>
    </x:row>
    <x:row r="22" ht="15" hidden="0" customHeight="1">
      <x:c r="A22" s="18" t="str">
        <x:v>Órdenes por dropshipper</x:v>
      </x:c>
      <x:c r="B22" s="20" t="n">
        <x:f>B10/B11</x:f>
        <x:v>42.134339211052534</x:v>
      </x:c>
    </x:row>
    <x:row r="23" ht="15" hidden="0" customHeight="1">
      <x:c r="A23" s="18" t="str">
        <x:v>Dropshippers por producto</x:v>
      </x:c>
      <x:c r="B23" s="20" t="n">
        <x:f>B11/B9</x:f>
        <x:v>3.0766219239373602</x:v>
      </x:c>
    </x:row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3" hidden="0" customWidth="1"/>
    <x:col min="11" max="11" width="18" hidden="0" customWidth="1"/>
    <x:col min="12" max="12" width="14" hidden="0" customWidth="1"/>
    <x:col min="13" max="13" width="16" hidden="0" customWidth="1"/>
    <x:col min="14" max="14" width="36" hidden="0" customWidth="1"/>
  </x:cols>
  <x:sheetData>
    <x:row r="1" ht="26.399999618530273" hidden="0" customHeight="1">
      <x:c r="A1" s="24" t="str">
        <x:v>ID fila</x:v>
      </x:c>
      <x:c r="B1" s="24" t="str">
        <x:v>Producto visible</x:v>
      </x:c>
      <x:c r="C1" s="24" t="str">
        <x:v>Categoría visible/inferida</x:v>
      </x:c>
      <x:c r="D1" s="24" t="str">
        <x:v>Proveedor</x:v>
      </x:c>
      <x:c r="E1" s="24" t="str">
        <x:v>Stock visible</x:v>
      </x:c>
      <x:c r="F1" s="24" t="str">
        <x:v>Precio proveedor</x:v>
      </x:c>
      <x:c r="G1" s="24" t="str">
        <x:v>Precio sugerido</x:v>
      </x:c>
      <x:c r="H1" s="24" t="str">
        <x:v>Margen valor</x:v>
      </x:c>
      <x:c r="I1" s="24" t="str">
        <x:v>Margen %</x:v>
      </x:c>
      <x:c r="J1" s="24" t="str">
        <x:v>Estado visible</x:v>
      </x:c>
      <x:c r="K1" s="24" t="str">
        <x:v>Tipo/etiqueta visible</x:v>
      </x:c>
      <x:c r="L1" s="24" t="str">
        <x:v>Bodega visible</x:v>
      </x:c>
      <x:c r="M1" s="24" t="str">
        <x:v>Fuente</x:v>
      </x:c>
      <x:c r="N1" s="24" t="str">
        <x:v>Notas crudas</x:v>
      </x:c>
    </x:row>
    <x:row r="2" ht="15" hidden="0" customHeight="1">
      <x:c r="A2" t="n">
        <x:v>1</x:v>
      </x:c>
      <x:c r="B2" s="18" t="str">
        <x:v>Combo Org Maquillaje Espejo Bolsa Maqui</x:v>
      </x:c>
      <x:c r="C2" s="18" t="str">
        <x:v>Belleza</x:v>
      </x:c>
      <x:c r="D2" s="18" t="str">
        <x:v>OH HOMIE</x:v>
      </x:c>
      <x:c r="E2" s="18" t="n">
        <x:v>200</x:v>
      </x:c>
      <x:c r="F2" s="28" t="n">
        <x:v>82000</x:v>
      </x:c>
      <x:c r="G2" s="28" t="n">
        <x:v>105000</x:v>
      </x:c>
      <x:c r="H2" s="28" t="n">
        <x:f>IF(OR(F2="",G2=""),"",G2-F2)</x:f>
        <x:v>23000</x:v>
      </x:c>
      <x:c r="I2" s="30" t="n">
        <x:f>IF(OR(F2="",G2="",G2=0),"",(G2-F2)/G2)</x:f>
        <x:v>0.21904761904761905</x:v>
      </x:c>
      <x:c r="J2" s="18" t="str">
        <x:v>Activo</x:v>
      </x:c>
      <x:c r="K2" s="18" t="str">
        <x:v>Exclusivo / Variable</x:v>
      </x:c>
      <x:c r="L2" s="18" t="str">
        <x:v>Bogotá</x:v>
      </x:c>
      <x:c r="M2" s="18" t="str">
        <x:v>Feed visible</x:v>
      </x:c>
      <x:c r="N2" s="18" t="str"/>
    </x:row>
    <x:row r="3" ht="15" hidden="0" customHeight="1">
      <x:c r="A3" t="n">
        <x:v>2</x:v>
      </x:c>
      <x:c r="B3" s="18" t="str">
        <x:v>Dispensador De Aceite Ph 676</x:v>
      </x:c>
      <x:c r="C3" s="18" t="str">
        <x:v>Cocina</x:v>
      </x:c>
      <x:c r="D3" s="18" t="str">
        <x:v>OH HOMIE</x:v>
      </x:c>
      <x:c r="E3" s="18" t="n">
        <x:v>270</x:v>
      </x:c>
      <x:c r="F3" s="28" t="n">
        <x:v>12000</x:v>
      </x:c>
      <x:c r="G3" s="28" t="n">
        <x:v>28000</x:v>
      </x:c>
      <x:c r="H3" s="28" t="n">
        <x:f>IF(OR(F3="",G3=""),"",G3-F3)</x:f>
        <x:v>16000</x:v>
      </x:c>
      <x:c r="I3" s="30" t="n">
        <x:f>IF(OR(F3="",G3="",G3=0),"",(G3-F3)/G3)</x:f>
        <x:v>0.5714285714285714</x:v>
      </x:c>
      <x:c r="J3" s="18" t="str">
        <x:v>Activo</x:v>
      </x:c>
      <x:c r="K3" s="18" t="str">
        <x:v>Exclusivo</x:v>
      </x:c>
      <x:c r="L3" s="18" t="str">
        <x:v>Bogotá</x:v>
      </x:c>
      <x:c r="M3" s="18" t="str">
        <x:v>Feed visible</x:v>
      </x:c>
      <x:c r="N3" s="18" t="str"/>
    </x:row>
    <x:row r="4" ht="15" hidden="0" customHeight="1">
      <x:c r="A4" t="n">
        <x:v>3</x:v>
      </x:c>
      <x:c r="B4" s="18" t="str">
        <x:v>Depilador De Cera Caliente Con Roll on</x:v>
      </x:c>
      <x:c r="C4" s="18" t="str">
        <x:v>Belleza</x:v>
      </x:c>
      <x:c r="D4" s="18" t="str">
        <x:v>OH HOMIE</x:v>
      </x:c>
      <x:c r="E4" s="18" t="n">
        <x:v>297</x:v>
      </x:c>
      <x:c r="F4" s="28" t="n">
        <x:v>20000</x:v>
      </x:c>
      <x:c r="G4" s="28" t="n">
        <x:v>40000</x:v>
      </x:c>
      <x:c r="H4" s="28" t="n">
        <x:f>IF(OR(F4="",G4=""),"",G4-F4)</x:f>
        <x:v>20000</x:v>
      </x:c>
      <x:c r="I4" s="30" t="n">
        <x:f>IF(OR(F4="",G4="",G4=0),"",(G4-F4)/G4)</x:f>
        <x:v>0.5</x:v>
      </x:c>
      <x:c r="J4" s="18" t="str">
        <x:v>Activo</x:v>
      </x:c>
      <x:c r="K4" s="18" t="str">
        <x:v>Exclusivo</x:v>
      </x:c>
      <x:c r="L4" s="18" t="str">
        <x:v>Bogotá</x:v>
      </x:c>
      <x:c r="M4" s="18" t="str">
        <x:v>Feed visible</x:v>
      </x:c>
      <x:c r="N4" s="18" t="str"/>
    </x:row>
    <x:row r="5" ht="15" hidden="0" customHeight="1">
      <x:c r="A5" t="n">
        <x:v>4</x:v>
      </x:c>
      <x:c r="B5" s="18" t="str">
        <x:v>Kit De Manicure 16 Pcs</x:v>
      </x:c>
      <x:c r="C5" s="18" t="str">
        <x:v>Belleza</x:v>
      </x:c>
      <x:c r="D5" s="18" t="str">
        <x:v>OH HOMIE</x:v>
      </x:c>
      <x:c r="E5" s="18" t="n">
        <x:v>310</x:v>
      </x:c>
      <x:c r="F5" s="28" t="n">
        <x:v>11000</x:v>
      </x:c>
      <x:c r="G5" s="28" t="n">
        <x:v>19000</x:v>
      </x:c>
      <x:c r="H5" s="28" t="n">
        <x:f>IF(OR(F5="",G5=""),"",G5-F5)</x:f>
        <x:v>8000</x:v>
      </x:c>
      <x:c r="I5" s="30" t="n">
        <x:f>IF(OR(F5="",G5="",G5=0),"",(G5-F5)/G5)</x:f>
        <x:v>0.42105263157894735</x:v>
      </x:c>
      <x:c r="J5" s="18" t="str">
        <x:v>Activo</x:v>
      </x:c>
      <x:c r="K5" s="18" t="str">
        <x:v>Exclusivo</x:v>
      </x:c>
      <x:c r="L5" s="18" t="str">
        <x:v>Bogotá</x:v>
      </x:c>
      <x:c r="M5" s="18" t="str">
        <x:v>Feed visible</x:v>
      </x:c>
      <x:c r="N5" s="18" t="str"/>
    </x:row>
    <x:row r="6" ht="15" hidden="0" customHeight="1">
      <x:c r="A6" t="n">
        <x:v>5</x:v>
      </x:c>
      <x:c r="B6" s="18" t="str">
        <x:v>Lonchera Termica Para 2 Tazas Con Cubiert</x:v>
      </x:c>
      <x:c r="C6" s="18" t="str">
        <x:v>Cocina</x:v>
      </x:c>
      <x:c r="D6" s="18" t="str">
        <x:v>OH HOMIE</x:v>
      </x:c>
      <x:c r="E6" s="18" t="n">
        <x:v>275</x:v>
      </x:c>
      <x:c r="F6" s="28" t="n">
        <x:v>25000</x:v>
      </x:c>
      <x:c r="G6" s="28" t="n">
        <x:v>40000</x:v>
      </x:c>
      <x:c r="H6" s="28" t="n">
        <x:f>IF(OR(F6="",G6=""),"",G6-F6)</x:f>
        <x:v>15000</x:v>
      </x:c>
      <x:c r="I6" s="30" t="n">
        <x:f>IF(OR(F6="",G6="",G6=0),"",(G6-F6)/G6)</x:f>
        <x:v>0.375</x:v>
      </x:c>
      <x:c r="J6" s="18" t="str">
        <x:v>Activo</x:v>
      </x:c>
      <x:c r="K6" s="18" t="str">
        <x:v>Exclusivo</x:v>
      </x:c>
      <x:c r="L6" s="18" t="str">
        <x:v>Bogotá</x:v>
      </x:c>
      <x:c r="M6" s="18" t="str">
        <x:v>Feed visible</x:v>
      </x:c>
      <x:c r="N6" s="18" t="str"/>
    </x:row>
    <x:row r="7" ht="15" hidden="0" customHeight="1">
      <x:c r="A7" t="n">
        <x:v>6</x:v>
      </x:c>
      <x:c r="B7" s="18" t="str">
        <x:v>Tensiometro Brazo Marca Jziki</x:v>
      </x:c>
      <x:c r="C7" s="18" t="str">
        <x:v>Salud</x:v>
      </x:c>
      <x:c r="D7" s="18" t="str">
        <x:v>OH HOMIE</x:v>
      </x:c>
      <x:c r="E7" s="18" t="n">
        <x:v>293</x:v>
      </x:c>
      <x:c r="F7" s="28" t="n">
        <x:v>34000</x:v>
      </x:c>
      <x:c r="G7" s="28" t="n">
        <x:v>50000</x:v>
      </x:c>
      <x:c r="H7" s="28" t="n">
        <x:f>IF(OR(F7="",G7=""),"",G7-F7)</x:f>
        <x:v>16000</x:v>
      </x:c>
      <x:c r="I7" s="30" t="n">
        <x:f>IF(OR(F7="",G7="",G7=0),"",(G7-F7)/G7)</x:f>
        <x:v>0.32</x:v>
      </x:c>
      <x:c r="J7" s="18" t="str">
        <x:v>Activo</x:v>
      </x:c>
      <x:c r="K7" s="18" t="str">
        <x:v>Exclusivo</x:v>
      </x:c>
      <x:c r="L7" s="18" t="str">
        <x:v>Bogotá</x:v>
      </x:c>
      <x:c r="M7" s="18" t="str">
        <x:v>Feed visible</x:v>
      </x:c>
      <x:c r="N7" s="18" t="str"/>
    </x:row>
    <x:row r="8" ht="15" hidden="0" customHeight="1">
      <x:c r="A8" t="n">
        <x:v>7</x:v>
      </x:c>
      <x:c r="B8" s="18" t="str">
        <x:v>Closet De Lujo 1 Cuerpo</x:v>
      </x:c>
      <x:c r="C8" s="18" t="str">
        <x:v>Hogar</x:v>
      </x:c>
      <x:c r="D8" s="18" t="str">
        <x:v>OH HOMIE</x:v>
      </x:c>
      <x:c r="E8" s="18" t="n">
        <x:v>300</x:v>
      </x:c>
      <x:c r="F8" s="28" t="n">
        <x:v>42500</x:v>
      </x:c>
      <x:c r="G8" s="28" t="n">
        <x:v>57500</x:v>
      </x:c>
      <x:c r="H8" s="28" t="n">
        <x:f>IF(OR(F8="",G8=""),"",G8-F8)</x:f>
        <x:v>15000</x:v>
      </x:c>
      <x:c r="I8" s="30" t="n">
        <x:f>IF(OR(F8="",G8="",G8=0),"",(G8-F8)/G8)</x:f>
        <x:v>0.2608695652173913</x:v>
      </x:c>
      <x:c r="J8" s="18" t="str">
        <x:v>Activo</x:v>
      </x:c>
      <x:c r="K8" s="18" t="str">
        <x:v>Exclusivo</x:v>
      </x:c>
      <x:c r="L8" s="18" t="str">
        <x:v>Bogotá</x:v>
      </x:c>
      <x:c r="M8" s="18" t="str">
        <x:v>Feed visible</x:v>
      </x:c>
      <x:c r="N8" s="18" t="str"/>
    </x:row>
    <x:row r="9" ht="15" hidden="0" customHeight="1">
      <x:c r="A9" t="n">
        <x:v>8</x:v>
      </x:c>
      <x:c r="B9" s="18" t="str">
        <x:v>Cojin Protector Cabeza Bebe</x:v>
      </x:c>
      <x:c r="C9" s="18" t="str">
        <x:v>Bebé</x:v>
      </x:c>
      <x:c r="D9" s="18" t="str">
        <x:v>OH HOMIE</x:v>
      </x:c>
      <x:c r="E9" s="18" t="n">
        <x:v>364</x:v>
      </x:c>
      <x:c r="F9" s="28" t="n">
        <x:v>33000</x:v>
      </x:c>
      <x:c r="G9" s="28" t="n">
        <x:v>78000</x:v>
      </x:c>
      <x:c r="H9" s="28" t="n">
        <x:f>IF(OR(F9="",G9=""),"",G9-F9)</x:f>
        <x:v>45000</x:v>
      </x:c>
      <x:c r="I9" s="30" t="n">
        <x:f>IF(OR(F9="",G9="",G9=0),"",(G9-F9)/G9)</x:f>
        <x:v>0.5769230769230769</x:v>
      </x:c>
      <x:c r="J9" s="18" t="str">
        <x:v>Activo</x:v>
      </x:c>
      <x:c r="K9" s="18" t="str">
        <x:v>Exclusivo / Variable</x:v>
      </x:c>
      <x:c r="L9" s="18" t="str">
        <x:v>Bogotá</x:v>
      </x:c>
      <x:c r="M9" s="18" t="str">
        <x:v>Feed visible</x:v>
      </x:c>
      <x:c r="N9" s="18" t="str"/>
    </x:row>
    <x:row r="10" ht="15" hidden="0" customHeight="1">
      <x:c r="A10" t="n">
        <x:v>9</x:v>
      </x:c>
      <x:c r="B10" s="18" t="str">
        <x:v>Papeles Para Freidora De Aire</x:v>
      </x:c>
      <x:c r="C10" s="18" t="str">
        <x:v>Cocina</x:v>
      </x:c>
      <x:c r="D10" s="18" t="str">
        <x:v>OH HOMIE</x:v>
      </x:c>
      <x:c r="E10" s="18" t="n">
        <x:v>297</x:v>
      </x:c>
      <x:c r="F10" s="28" t="n">
        <x:v>12000</x:v>
      </x:c>
      <x:c r="G10" s="28" t="n">
        <x:v>22000</x:v>
      </x:c>
      <x:c r="H10" s="28" t="n">
        <x:f>IF(OR(F10="",G10=""),"",G10-F10)</x:f>
        <x:v>10000</x:v>
      </x:c>
      <x:c r="I10" s="30" t="n">
        <x:f>IF(OR(F10="",G10="",G10=0),"",(G10-F10)/G10)</x:f>
        <x:v>0.45454545454545453</x:v>
      </x:c>
      <x:c r="J10" s="18" t="str">
        <x:v>Activo</x:v>
      </x:c>
      <x:c r="K10" s="18" t="str">
        <x:v>Exclusivo</x:v>
      </x:c>
      <x:c r="L10" s="18" t="str">
        <x:v>Bogotá</x:v>
      </x:c>
      <x:c r="M10" s="18" t="str">
        <x:v>Feed visible</x:v>
      </x:c>
      <x:c r="N10" s="18" t="str"/>
    </x:row>
    <x:row r="11" ht="15" hidden="0" customHeight="1">
      <x:c r="A11" t="n">
        <x:v>10</x:v>
      </x:c>
      <x:c r="B11" s="18" t="str">
        <x:v>Interruptor Inteligente Alexa Doble Jg3</x:v>
      </x:c>
      <x:c r="C11" s="18" t="str">
        <x:v>Tecnología</x:v>
      </x:c>
      <x:c r="D11" s="18" t="str">
        <x:v>OH HOMIE</x:v>
      </x:c>
      <x:c r="E11" s="18" t="n">
        <x:v>400</x:v>
      </x:c>
      <x:c r="F11" s="28" t="n">
        <x:v>43750</x:v>
      </x:c>
      <x:c r="G11" s="28" t="n">
        <x:v>57000</x:v>
      </x:c>
      <x:c r="H11" s="28" t="n">
        <x:f>IF(OR(F11="",G11=""),"",G11-F11)</x:f>
        <x:v>13250</x:v>
      </x:c>
      <x:c r="I11" s="30" t="n">
        <x:f>IF(OR(F11="",G11="",G11=0),"",(G11-F11)/G11)</x:f>
        <x:v>0.2324561403508772</x:v>
      </x:c>
      <x:c r="J11" s="18" t="str">
        <x:v>Activo</x:v>
      </x:c>
      <x:c r="K11" s="18" t="str">
        <x:v>Exclusivo</x:v>
      </x:c>
      <x:c r="L11" s="18" t="str">
        <x:v>Bogotá</x:v>
      </x:c>
      <x:c r="M11" s="18" t="str">
        <x:v>Feed visible</x:v>
      </x:c>
      <x:c r="N11" s="18" t="str"/>
    </x:row>
    <x:row r="12" ht="15" hidden="0" customHeight="1">
      <x:c r="A12" t="n">
        <x:v>11</x:v>
      </x:c>
      <x:c r="B12" s="18" t="str">
        <x:v>Armario Ropero Multifuncion Tela Pd35</x:v>
      </x:c>
      <x:c r="C12" s="18" t="str">
        <x:v>Hogar</x:v>
      </x:c>
      <x:c r="D12" s="18" t="str">
        <x:v>OH HOMIE</x:v>
      </x:c>
      <x:c r="E12" s="18" t="n">
        <x:v>322</x:v>
      </x:c>
      <x:c r="F12" s="28" t="n">
        <x:v>95000</x:v>
      </x:c>
      <x:c r="G12" s="28" t="n">
        <x:v>130000</x:v>
      </x:c>
      <x:c r="H12" s="28" t="n">
        <x:f>IF(OR(F12="",G12=""),"",G12-F12)</x:f>
        <x:v>35000</x:v>
      </x:c>
      <x:c r="I12" s="30" t="n">
        <x:f>IF(OR(F12="",G12="",G12=0),"",(G12-F12)/G12)</x:f>
        <x:v>0.2692307692307692</x:v>
      </x:c>
      <x:c r="J12" s="18" t="str">
        <x:v>Activo</x:v>
      </x:c>
      <x:c r="K12" s="18" t="str">
        <x:v>Exclusivo</x:v>
      </x:c>
      <x:c r="L12" s="18" t="str">
        <x:v>Bogotá</x:v>
      </x:c>
      <x:c r="M12" s="18" t="str">
        <x:v>Feed visible</x:v>
      </x:c>
      <x:c r="N12" s="18" t="str"/>
    </x:row>
    <x:row r="13" ht="15" hidden="0" customHeight="1">
      <x:c r="A13" t="n">
        <x:v>12</x:v>
      </x:c>
      <x:c r="B13" s="18" t="str">
        <x:v>Soporte Para Bebe Transparente</x:v>
      </x:c>
      <x:c r="C13" s="18" t="str">
        <x:v>Bebé</x:v>
      </x:c>
      <x:c r="D13" s="18" t="str">
        <x:v>OH HOMIE</x:v>
      </x:c>
      <x:c r="E13" s="18" t="n">
        <x:v>287</x:v>
      </x:c>
      <x:c r="F13" s="28" t="n">
        <x:v>16000</x:v>
      </x:c>
      <x:c r="G13" s="28" t="n">
        <x:v>32000</x:v>
      </x:c>
      <x:c r="H13" s="28" t="n">
        <x:f>IF(OR(F13="",G13=""),"",G13-F13)</x:f>
        <x:v>16000</x:v>
      </x:c>
      <x:c r="I13" s="30" t="n">
        <x:f>IF(OR(F13="",G13="",G13=0),"",(G13-F13)/G13)</x:f>
        <x:v>0.5</x:v>
      </x:c>
      <x:c r="J13" s="18" t="str">
        <x:v>Activo</x:v>
      </x:c>
      <x:c r="K13" s="18" t="str">
        <x:v>Exclusivo</x:v>
      </x:c>
      <x:c r="L13" s="18" t="str">
        <x:v>Bogotá</x:v>
      </x:c>
      <x:c r="M13" s="18" t="str">
        <x:v>Feed visible</x:v>
      </x:c>
      <x:c r="N13" s="18" t="str"/>
    </x:row>
    <x:row r="14" ht="15" hidden="0" customHeight="1">
      <x:c r="A14" t="n">
        <x:v>13</x:v>
      </x:c>
      <x:c r="B14" s="18" t="str">
        <x:v>Saca Golpes</x:v>
      </x:c>
      <x:c r="C14" s="18" t="str">
        <x:v>Otro</x:v>
      </x:c>
      <x:c r="D14" s="18" t="str">
        <x:v>OH HOMIE</x:v>
      </x:c>
      <x:c r="E14" s="18" t="n">
        <x:v>298</x:v>
      </x:c>
      <x:c r="F14" s="28" t="n">
        <x:v>6000</x:v>
      </x:c>
      <x:c r="G14" s="28" t="n">
        <x:v>26000</x:v>
      </x:c>
      <x:c r="H14" s="28" t="n">
        <x:f>IF(OR(F14="",G14=""),"",G14-F14)</x:f>
        <x:v>20000</x:v>
      </x:c>
      <x:c r="I14" s="30" t="n">
        <x:f>IF(OR(F14="",G14="",G14=0),"",(G14-F14)/G14)</x:f>
        <x:v>0.7692307692307693</x:v>
      </x:c>
      <x:c r="J14" s="18" t="str">
        <x:v>Activo</x:v>
      </x:c>
      <x:c r="K14" s="18" t="str">
        <x:v>Exclusivo</x:v>
      </x:c>
      <x:c r="L14" s="18" t="str">
        <x:v>Bogotá</x:v>
      </x:c>
      <x:c r="M14" s="18" t="str">
        <x:v>Feed visible</x:v>
      </x:c>
      <x:c r="N14" s="18" t="str"/>
    </x:row>
    <x:row r="15" ht="15" hidden="0" customHeight="1">
      <x:c r="A15" t="n">
        <x:v>14</x:v>
      </x:c>
      <x:c r="B15" s="18" t="str">
        <x:v>Quita Pelusa Electrico</x:v>
      </x:c>
      <x:c r="C15" s="18" t="str">
        <x:v>Aseo</x:v>
      </x:c>
      <x:c r="D15" s="18" t="str">
        <x:v>OH HOMIE</x:v>
      </x:c>
      <x:c r="E15" s="18" t="n">
        <x:v>293</x:v>
      </x:c>
      <x:c r="F15" s="28" t="n">
        <x:v>18000</x:v>
      </x:c>
      <x:c r="G15" s="28" t="n">
        <x:v>28000</x:v>
      </x:c>
      <x:c r="H15" s="28" t="n">
        <x:f>IF(OR(F15="",G15=""),"",G15-F15)</x:f>
        <x:v>10000</x:v>
      </x:c>
      <x:c r="I15" s="30" t="n">
        <x:f>IF(OR(F15="",G15="",G15=0),"",(G15-F15)/G15)</x:f>
        <x:v>0.35714285714285715</x:v>
      </x:c>
      <x:c r="J15" s="18" t="str">
        <x:v>Activo</x:v>
      </x:c>
      <x:c r="K15" s="18" t="str">
        <x:v>Exclusivo</x:v>
      </x:c>
      <x:c r="L15" s="18" t="str">
        <x:v>Bogotá</x:v>
      </x:c>
      <x:c r="M15" s="18" t="str">
        <x:v>Feed visible</x:v>
      </x:c>
      <x:c r="N15" s="18" t="str"/>
    </x:row>
    <x:row r="16" ht="15" hidden="0" customHeight="1">
      <x:c r="A16" t="n">
        <x:v>15</x:v>
      </x:c>
      <x:c r="B16" s="18" t="str">
        <x:v>Combo Rueda Abdominal Set Bandas Tubu</x:v>
      </x:c>
      <x:c r="C16" s="18" t="str">
        <x:v>Salud</x:v>
      </x:c>
      <x:c r="D16" s="18" t="str">
        <x:v>OH HOMIE</x:v>
      </x:c>
      <x:c r="E16" s="18" t="n">
        <x:v>301</x:v>
      </x:c>
      <x:c r="F16" s="28" t="n">
        <x:v>54000</x:v>
      </x:c>
      <x:c r="G16" s="28" t="n">
        <x:v>70000</x:v>
      </x:c>
      <x:c r="H16" s="28" t="n">
        <x:f>IF(OR(F16="",G16=""),"",G16-F16)</x:f>
        <x:v>16000</x:v>
      </x:c>
      <x:c r="I16" s="30" t="n">
        <x:f>IF(OR(F16="",G16="",G16=0),"",(G16-F16)/G16)</x:f>
        <x:v>0.22857142857142856</x:v>
      </x:c>
      <x:c r="J16" s="18" t="str">
        <x:v>Activo</x:v>
      </x:c>
      <x:c r="K16" s="18" t="str">
        <x:v>Exclusivo</x:v>
      </x:c>
      <x:c r="L16" s="18" t="str">
        <x:v>Bogotá</x:v>
      </x:c>
      <x:c r="M16" s="18" t="str">
        <x:v>Feed visible</x:v>
      </x:c>
      <x:c r="N16" s="18" t="str"/>
    </x:row>
    <x:row r="17" ht="15" hidden="0" customHeight="1">
      <x:c r="A17" t="n">
        <x:v>16</x:v>
      </x:c>
      <x:c r="B17" s="18" t="str">
        <x:v>Combo Mini Gps Rastremi Camara Inalam</x:v>
      </x:c>
      <x:c r="C17" s="18" t="str">
        <x:v>Tecnología</x:v>
      </x:c>
      <x:c r="D17" s="18" t="str">
        <x:v>OH HOMIE</x:v>
      </x:c>
      <x:c r="E17" s="18" t="n">
        <x:v>300</x:v>
      </x:c>
      <x:c r="F17" s="28" t="n">
        <x:v>44000</x:v>
      </x:c>
      <x:c r="G17" s="28" t="n">
        <x:v>64000</x:v>
      </x:c>
      <x:c r="H17" s="28" t="n">
        <x:f>IF(OR(F17="",G17=""),"",G17-F17)</x:f>
        <x:v>20000</x:v>
      </x:c>
      <x:c r="I17" s="30" t="n">
        <x:f>IF(OR(F17="",G17="",G17=0),"",(G17-F17)/G17)</x:f>
        <x:v>0.3125</x:v>
      </x:c>
      <x:c r="J17" s="18" t="str">
        <x:v>Activo</x:v>
      </x:c>
      <x:c r="K17" s="18" t="str">
        <x:v>Exclusivo</x:v>
      </x:c>
      <x:c r="L17" s="18" t="str">
        <x:v>Bogotá</x:v>
      </x:c>
      <x:c r="M17" s="18" t="str">
        <x:v>Feed visible</x:v>
      </x:c>
      <x:c r="N17" s="18" t="str"/>
    </x:row>
    <x:row r="18" ht="15" hidden="0" customHeight="1">
      <x:c r="A18" t="n">
        <x:v>17</x:v>
      </x:c>
      <x:c r="B18" s="18" t="str">
        <x:v>Juego De Ollas X 13 Piezas</x:v>
      </x:c>
      <x:c r="C18" s="18" t="str">
        <x:v>Cocina</x:v>
      </x:c>
      <x:c r="D18" s="18" t="str">
        <x:v>OH HOMIE</x:v>
      </x:c>
      <x:c r="E18" s="18" t="n">
        <x:v>43</x:v>
      </x:c>
      <x:c r="F18" s="28" t="n">
        <x:v>49000</x:v>
      </x:c>
      <x:c r="G18" s="28" t="n">
        <x:v>65000</x:v>
      </x:c>
      <x:c r="H18" s="28" t="n">
        <x:f>IF(OR(F18="",G18=""),"",G18-F18)</x:f>
        <x:v>16000</x:v>
      </x:c>
      <x:c r="I18" s="30" t="n">
        <x:f>IF(OR(F18="",G18="",G18=0),"",(G18-F18)/G18)</x:f>
        <x:v>0.24615384615384617</x:v>
      </x:c>
      <x:c r="J18" s="18" t="str">
        <x:v>Activo</x:v>
      </x:c>
      <x:c r="K18" s="18" t="str">
        <x:v>Exclusivo</x:v>
      </x:c>
      <x:c r="L18" s="18" t="str">
        <x:v>Bogotá</x:v>
      </x:c>
      <x:c r="M18" s="18" t="str">
        <x:v>Feed visible</x:v>
      </x:c>
      <x:c r="N18" s="18" t="str"/>
    </x:row>
    <x:row r="19" ht="15" hidden="0" customHeight="1">
      <x:c r="A19" t="n">
        <x:v>18</x:v>
      </x:c>
      <x:c r="B19" s="18" t="str">
        <x:v>Estante De Bano Inodoro</x:v>
      </x:c>
      <x:c r="C19" s="18" t="str">
        <x:v>Hogar</x:v>
      </x:c>
      <x:c r="D19" s="18" t="str">
        <x:v>OH HOMIE</x:v>
      </x:c>
      <x:c r="E19" s="18" t="n">
        <x:v>200</x:v>
      </x:c>
      <x:c r="F19" s="28" t="n">
        <x:v>46000</x:v>
      </x:c>
      <x:c r="G19" s="28" t="n">
        <x:v>80000</x:v>
      </x:c>
      <x:c r="H19" s="28" t="n">
        <x:f>IF(OR(F19="",G19=""),"",G19-F19)</x:f>
        <x:v>34000</x:v>
      </x:c>
      <x:c r="I19" s="30" t="n">
        <x:f>IF(OR(F19="",G19="",G19=0),"",(G19-F19)/G19)</x:f>
        <x:v>0.425</x:v>
      </x:c>
      <x:c r="J19" s="18" t="str">
        <x:v>Activo</x:v>
      </x:c>
      <x:c r="K19" s="18" t="str">
        <x:v>Exclusivo</x:v>
      </x:c>
      <x:c r="L19" s="18" t="str">
        <x:v>Bogotá</x:v>
      </x:c>
      <x:c r="M19" s="18" t="str">
        <x:v>Feed visible</x:v>
      </x:c>
      <x:c r="N19" s="18" t="str"/>
    </x:row>
    <x:row r="20" ht="15" hidden="0" customHeight="1">
      <x:c r="A20" t="n">
        <x:v>19</x:v>
      </x:c>
      <x:c r="B20" s="18" t="str">
        <x:v>Molino De Cafe Y Granos</x:v>
      </x:c>
      <x:c r="C20" s="18" t="str">
        <x:v>Cocina</x:v>
      </x:c>
      <x:c r="D20" s="18" t="str">
        <x:v>OH HOMIE</x:v>
      </x:c>
      <x:c r="E20" s="18" t="n">
        <x:v>120</x:v>
      </x:c>
      <x:c r="F20" s="28" t="n">
        <x:v>20000</x:v>
      </x:c>
      <x:c r="G20" s="28" t="n">
        <x:v>40000</x:v>
      </x:c>
      <x:c r="H20" s="28" t="n">
        <x:f>IF(OR(F20="",G20=""),"",G20-F20)</x:f>
        <x:v>20000</x:v>
      </x:c>
      <x:c r="I20" s="30" t="n">
        <x:f>IF(OR(F20="",G20="",G20=0),"",(G20-F20)/G20)</x:f>
        <x:v>0.5</x:v>
      </x:c>
      <x:c r="J20" s="18" t="str">
        <x:v>Activo</x:v>
      </x:c>
      <x:c r="K20" s="18" t="str">
        <x:v>Exclusivo</x:v>
      </x:c>
      <x:c r="L20" s="18" t="str">
        <x:v>Bogotá</x:v>
      </x:c>
      <x:c r="M20" s="18" t="str">
        <x:v>Feed visible</x:v>
      </x:c>
      <x:c r="N20" s="18" t="str"/>
    </x:row>
    <x:row r="21" ht="15" hidden="0" customHeight="1">
      <x:c r="A21" t="n">
        <x:v>20</x:v>
      </x:c>
      <x:c r="B21" s="18" t="str">
        <x:v>Medidor De Liquidos Con Pantalla Digital</x:v>
      </x:c>
      <x:c r="C21" s="18" t="str">
        <x:v>Cocina</x:v>
      </x:c>
      <x:c r="D21" s="18" t="str">
        <x:v>OH HOMIE</x:v>
      </x:c>
      <x:c r="E21" s="18" t="n">
        <x:v>300</x:v>
      </x:c>
      <x:c r="F21" s="28" t="n">
        <x:v>33750</x:v>
      </x:c>
      <x:c r="G21" s="28" t="n">
        <x:v>43000</x:v>
      </x:c>
      <x:c r="H21" s="28" t="n">
        <x:f>IF(OR(F21="",G21=""),"",G21-F21)</x:f>
        <x:v>9250</x:v>
      </x:c>
      <x:c r="I21" s="30" t="n">
        <x:f>IF(OR(F21="",G21="",G21=0),"",(G21-F21)/G21)</x:f>
        <x:v>0.21511627906976744</x:v>
      </x:c>
      <x:c r="J21" s="18" t="str">
        <x:v>Activo</x:v>
      </x:c>
      <x:c r="K21" s="18" t="str">
        <x:v>Exclusivo</x:v>
      </x:c>
      <x:c r="L21" s="18" t="str">
        <x:v>Bogotá</x:v>
      </x:c>
      <x:c r="M21" s="18" t="str">
        <x:v>Feed visible</x:v>
      </x:c>
      <x:c r="N21" s="18" t="str"/>
    </x:row>
    <x:row r="22" ht="15" hidden="0" customHeight="1">
      <x:c r="A22" t="n">
        <x:v>21</x:v>
      </x:c>
      <x:c r="B22" s="18" t="str">
        <x:v>Armario Plastico</x:v>
      </x:c>
      <x:c r="C22" s="18" t="str">
        <x:v>Hogar</x:v>
      </x:c>
      <x:c r="D22" s="18" t="str">
        <x:v>OH HOMIE</x:v>
      </x:c>
      <x:c r="E22" s="18" t="n">
        <x:v>244</x:v>
      </x:c>
      <x:c r="F22" s="28" t="n">
        <x:v>65000</x:v>
      </x:c>
      <x:c r="G22" s="28" t="n">
        <x:v>80000</x:v>
      </x:c>
      <x:c r="H22" s="28" t="n">
        <x:f>IF(OR(F22="",G22=""),"",G22-F22)</x:f>
        <x:v>15000</x:v>
      </x:c>
      <x:c r="I22" s="30" t="n">
        <x:f>IF(OR(F22="",G22="",G22=0),"",(G22-F22)/G22)</x:f>
        <x:v>0.1875</x:v>
      </x:c>
      <x:c r="J22" s="18" t="str">
        <x:v>Activo</x:v>
      </x:c>
      <x:c r="K22" s="18" t="str">
        <x:v>Exclusivo</x:v>
      </x:c>
      <x:c r="L22" s="18" t="str">
        <x:v>Bogotá</x:v>
      </x:c>
      <x:c r="M22" s="18" t="str">
        <x:v>Feed visible</x:v>
      </x:c>
      <x:c r="N22" s="18" t="str"/>
    </x:row>
    <x:row r="23" ht="15" hidden="0" customHeight="1">
      <x:c r="A23" t="n">
        <x:v>22</x:v>
      </x:c>
      <x:c r="B23" s="18" t="str">
        <x:v>Ventilador Con Luz y Control Fsytr260</x:v>
      </x:c>
      <x:c r="C23" s="18" t="str">
        <x:v>Hogar</x:v>
      </x:c>
      <x:c r="D23" s="18" t="str">
        <x:v>OH HOMIE</x:v>
      </x:c>
      <x:c r="E23" s="18" t="n">
        <x:v>36</x:v>
      </x:c>
      <x:c r="F23" s="28" t="n">
        <x:v>31000</x:v>
      </x:c>
      <x:c r="G23" s="28" t="n">
        <x:v>50000</x:v>
      </x:c>
      <x:c r="H23" s="28" t="n">
        <x:f>IF(OR(F23="",G23=""),"",G23-F23)</x:f>
        <x:v>19000</x:v>
      </x:c>
      <x:c r="I23" s="30" t="n">
        <x:f>IF(OR(F23="",G23="",G23=0),"",(G23-F23)/G23)</x:f>
        <x:v>0.38</x:v>
      </x:c>
      <x:c r="J23" s="18" t="str">
        <x:v>Activo</x:v>
      </x:c>
      <x:c r="K23" s="18" t="str">
        <x:v>Exclusivo</x:v>
      </x:c>
      <x:c r="L23" s="18" t="str">
        <x:v>Bogotá</x:v>
      </x:c>
      <x:c r="M23" s="18" t="str">
        <x:v>Feed visible</x:v>
      </x:c>
      <x:c r="N23" s="18" t="str"/>
    </x:row>
    <x:row r="24" ht="15" hidden="0" customHeight="1">
      <x:c r="A24" t="n">
        <x:v>23</x:v>
      </x:c>
      <x:c r="B24" s="18" t="str">
        <x:v>Bolso Viaje Enrollable</x:v>
      </x:c>
      <x:c r="C24" s="18" t="str">
        <x:v>Otro</x:v>
      </x:c>
      <x:c r="D24" s="18" t="str">
        <x:v>OH HOMIE</x:v>
      </x:c>
      <x:c r="E24" s="18" t="n">
        <x:v>221</x:v>
      </x:c>
      <x:c r="F24" s="28" t="n">
        <x:v>40000</x:v>
      </x:c>
      <x:c r="G24" s="28" t="n">
        <x:v>58000</x:v>
      </x:c>
      <x:c r="H24" s="28" t="n">
        <x:f>IF(OR(F24="",G24=""),"",G24-F24)</x:f>
        <x:v>18000</x:v>
      </x:c>
      <x:c r="I24" s="30" t="n">
        <x:f>IF(OR(F24="",G24="",G24=0),"",(G24-F24)/G24)</x:f>
        <x:v>0.3103448275862069</x:v>
      </x:c>
      <x:c r="J24" s="18" t="str">
        <x:v>Activo</x:v>
      </x:c>
      <x:c r="K24" s="18" t="str">
        <x:v>Exclusivo</x:v>
      </x:c>
      <x:c r="L24" s="18" t="str">
        <x:v>Bogotá</x:v>
      </x:c>
      <x:c r="M24" s="18" t="str">
        <x:v>Feed visible</x:v>
      </x:c>
      <x:c r="N24" s="18" t="str"/>
    </x:row>
    <x:row r="25" ht="15" hidden="0" customHeight="1">
      <x:c r="A25" t="n">
        <x:v>24</x:v>
      </x:c>
      <x:c r="B25" s="18" t="str">
        <x:v>Batidora Skarlett066gramera</x:v>
      </x:c>
      <x:c r="C25" s="18" t="str">
        <x:v>Cocina</x:v>
      </x:c>
      <x:c r="D25" s="18" t="str">
        <x:v>OH HOMIE</x:v>
      </x:c>
      <x:c r="E25" s="18" t="n">
        <x:v>219</x:v>
      </x:c>
      <x:c r="F25" s="28" t="n">
        <x:v>98500</x:v>
      </x:c>
      <x:c r="G25" s="28" t="n">
        <x:v>120000</x:v>
      </x:c>
      <x:c r="H25" s="28" t="n">
        <x:f>IF(OR(F25="",G25=""),"",G25-F25)</x:f>
        <x:v>21500</x:v>
      </x:c>
      <x:c r="I25" s="30" t="n">
        <x:f>IF(OR(F25="",G25="",G25=0),"",(G25-F25)/G25)</x:f>
        <x:v>0.17916666666666667</x:v>
      </x:c>
      <x:c r="J25" s="18" t="str">
        <x:v>Activo</x:v>
      </x:c>
      <x:c r="K25" s="18" t="str">
        <x:v>Exclusivo</x:v>
      </x:c>
      <x:c r="L25" s="18" t="str">
        <x:v>Bogotá</x:v>
      </x:c>
      <x:c r="M25" s="18" t="str">
        <x:v>Feed visible</x:v>
      </x:c>
      <x:c r="N25" s="18" t="str"/>
    </x:row>
    <x:row r="26" ht="15" hidden="0" customHeight="1">
      <x:c r="A26" t="n">
        <x:v>25</x:v>
      </x:c>
      <x:c r="B26" s="18" t="str">
        <x:v>Alisador De Pelo Portatil</x:v>
      </x:c>
      <x:c r="C26" s="18" t="str">
        <x:v>Belleza</x:v>
      </x:c>
      <x:c r="D26" s="18" t="str">
        <x:v>OH HOMIE</x:v>
      </x:c>
      <x:c r="E26" s="18" t="n">
        <x:v>212</x:v>
      </x:c>
      <x:c r="F26" s="28" t="n">
        <x:v>13000</x:v>
      </x:c>
      <x:c r="G26" s="28" t="n">
        <x:v>37000</x:v>
      </x:c>
      <x:c r="H26" s="28" t="n">
        <x:f>IF(OR(F26="",G26=""),"",G26-F26)</x:f>
        <x:v>24000</x:v>
      </x:c>
      <x:c r="I26" s="30" t="n">
        <x:f>IF(OR(F26="",G26="",G26=0),"",(G26-F26)/G26)</x:f>
        <x:v>0.6486486486486487</x:v>
      </x:c>
      <x:c r="J26" s="18" t="str">
        <x:v>Activo</x:v>
      </x:c>
      <x:c r="K26" s="18" t="str">
        <x:v>Exclusivo</x:v>
      </x:c>
      <x:c r="L26" s="18" t="str">
        <x:v>Bogotá</x:v>
      </x:c>
      <x:c r="M26" s="18" t="str">
        <x:v>Feed visible</x:v>
      </x:c>
      <x:c r="N26" s="18" t="str"/>
    </x:row>
    <x:row r="27" ht="15" hidden="0" customHeight="1">
      <x:c r="A27" t="n">
        <x:v>26</x:v>
      </x:c>
      <x:c r="B27" s="18" t="str">
        <x:v>Cafetera Expreso 12 Tazas</x:v>
      </x:c>
      <x:c r="C27" s="18" t="str">
        <x:v>Cocina</x:v>
      </x:c>
      <x:c r="D27" s="18" t="str">
        <x:v>OH HOMIE</x:v>
      </x:c>
      <x:c r="E27" s="18" t="n">
        <x:v>197</x:v>
      </x:c>
      <x:c r="F27" s="28" t="n">
        <x:v>49750</x:v>
      </x:c>
      <x:c r="G27" s="28" t="n">
        <x:v>65000</x:v>
      </x:c>
      <x:c r="H27" s="28" t="n">
        <x:f>IF(OR(F27="",G27=""),"",G27-F27)</x:f>
        <x:v>15250</x:v>
      </x:c>
      <x:c r="I27" s="30" t="n">
        <x:f>IF(OR(F27="",G27="",G27=0),"",(G27-F27)/G27)</x:f>
        <x:v>0.23461538461538461</x:v>
      </x:c>
      <x:c r="J27" s="18" t="str">
        <x:v>Activo</x:v>
      </x:c>
      <x:c r="K27" s="18" t="str">
        <x:v>Exclusivo</x:v>
      </x:c>
      <x:c r="L27" s="18" t="str">
        <x:v>Bogotá</x:v>
      </x:c>
      <x:c r="M27" s="18" t="str">
        <x:v>Feed visible</x:v>
      </x:c>
      <x:c r="N27" s="18" t="str"/>
    </x:row>
    <x:row r="28" ht="15" hidden="0" customHeight="1">
      <x:c r="A28" t="n">
        <x:v>27</x:v>
      </x:c>
      <x:c r="B28" s="18" t="str">
        <x:v>Reloj 3d Mariposas</x:v>
      </x:c>
      <x:c r="C28" s="18" t="str">
        <x:v>Hogar</x:v>
      </x:c>
      <x:c r="D28" s="18" t="str">
        <x:v>OH HOMIE</x:v>
      </x:c>
      <x:c r="E28" s="18" t="n">
        <x:v>248</x:v>
      </x:c>
      <x:c r="F28" s="28" t="n">
        <x:v>25000</x:v>
      </x:c>
      <x:c r="G28" s="28" t="n">
        <x:v>40000</x:v>
      </x:c>
      <x:c r="H28" s="28" t="n">
        <x:f>IF(OR(F28="",G28=""),"",G28-F28)</x:f>
        <x:v>15000</x:v>
      </x:c>
      <x:c r="I28" s="30" t="n">
        <x:f>IF(OR(F28="",G28="",G28=0),"",(G28-F28)/G28)</x:f>
        <x:v>0.375</x:v>
      </x:c>
      <x:c r="J28" s="18" t="str">
        <x:v>Activo</x:v>
      </x:c>
      <x:c r="K28" s="18" t="str">
        <x:v>Exclusivo</x:v>
      </x:c>
      <x:c r="L28" s="18" t="str">
        <x:v>Bogotá</x:v>
      </x:c>
      <x:c r="M28" s="18" t="str">
        <x:v>Feed visible</x:v>
      </x:c>
      <x:c r="N28" s="18" t="str"/>
    </x:row>
    <x:row r="29" ht="15" hidden="0" customHeight="1">
      <x:c r="A29" t="n">
        <x:v>28</x:v>
      </x:c>
      <x:c r="B29" s="18" t="str">
        <x:v>Banda Elasticas Para Estiramiento Pd12</x:v>
      </x:c>
      <x:c r="C29" s="18" t="str">
        <x:v>Deportes</x:v>
      </x:c>
      <x:c r="D29" s="18" t="str">
        <x:v>OH HOMIE</x:v>
      </x:c>
      <x:c r="E29" s="18" t="n">
        <x:v>149</x:v>
      </x:c>
      <x:c r="F29" s="28" t="n">
        <x:v>10000</x:v>
      </x:c>
      <x:c r="G29" s="28" t="n">
        <x:v>25000</x:v>
      </x:c>
      <x:c r="H29" s="28" t="n">
        <x:f>IF(OR(F29="",G29=""),"",G29-F29)</x:f>
        <x:v>15000</x:v>
      </x:c>
      <x:c r="I29" s="30" t="n">
        <x:f>IF(OR(F29="",G29="",G29=0),"",(G29-F29)/G29)</x:f>
        <x:v>0.6</x:v>
      </x:c>
      <x:c r="J29" s="18" t="str">
        <x:v>Activo</x:v>
      </x:c>
      <x:c r="K29" s="18" t="str">
        <x:v>Exclusivo</x:v>
      </x:c>
      <x:c r="L29" s="18" t="str">
        <x:v>Bogotá</x:v>
      </x:c>
      <x:c r="M29" s="18" t="str">
        <x:v>Feed visible</x:v>
      </x:c>
      <x:c r="N29" s="18" t="str"/>
    </x:row>
    <x:row r="30" ht="15" hidden="0" customHeight="1">
      <x:c r="A30" t="n">
        <x:v>29</x:v>
      </x:c>
      <x:c r="B30" s="18" t="str">
        <x:v>Polvo Blanqueador De Dientes</x:v>
      </x:c>
      <x:c r="C30" s="18" t="str">
        <x:v>Belleza</x:v>
      </x:c>
      <x:c r="D30" s="18" t="str">
        <x:v>OH HOMIE</x:v>
      </x:c>
      <x:c r="E30" s="18" t="n">
        <x:v>294</x:v>
      </x:c>
      <x:c r="F30" s="28" t="n">
        <x:v>12500</x:v>
      </x:c>
      <x:c r="G30" s="28" t="n">
        <x:v>27500</x:v>
      </x:c>
      <x:c r="H30" s="28" t="n">
        <x:f>IF(OR(F30="",G30=""),"",G30-F30)</x:f>
        <x:v>15000</x:v>
      </x:c>
      <x:c r="I30" s="30" t="n">
        <x:f>IF(OR(F30="",G30="",G30=0),"",(G30-F30)/G30)</x:f>
        <x:v>0.5454545454545454</x:v>
      </x:c>
      <x:c r="J30" s="18" t="str">
        <x:v>Activo</x:v>
      </x:c>
      <x:c r="K30" s="18" t="str">
        <x:v>Exclusivo</x:v>
      </x:c>
      <x:c r="L30" s="18" t="str">
        <x:v>Bogotá</x:v>
      </x:c>
      <x:c r="M30" s="18" t="str">
        <x:v>Feed visible</x:v>
      </x:c>
      <x:c r="N30" s="18" t="str"/>
    </x:row>
    <x:row r="31" ht="15" hidden="0" customHeight="1">
      <x:c r="A31" t="n">
        <x:v>30</x:v>
      </x:c>
      <x:c r="B31" s="18" t="str">
        <x:v>Combo Armario Tela Organz Perchero</x:v>
      </x:c>
      <x:c r="C31" s="18" t="str">
        <x:v>Hogar</x:v>
      </x:c>
      <x:c r="D31" s="18" t="str">
        <x:v>OH HOMIE</x:v>
      </x:c>
      <x:c r="E31" s="18" t="n">
        <x:v>537</x:v>
      </x:c>
      <x:c r="F31" s="28" t="n">
        <x:v>75000</x:v>
      </x:c>
      <x:c r="G31" s="28" t="n">
        <x:v>100000</x:v>
      </x:c>
      <x:c r="H31" s="28" t="n">
        <x:f>IF(OR(F31="",G31=""),"",G31-F31)</x:f>
        <x:v>25000</x:v>
      </x:c>
      <x:c r="I31" s="30" t="n">
        <x:f>IF(OR(F31="",G31="",G31=0),"",(G31-F31)/G31)</x:f>
        <x:v>0.25</x:v>
      </x:c>
      <x:c r="J31" s="18" t="str">
        <x:v>Activo</x:v>
      </x:c>
      <x:c r="K31" s="18" t="str">
        <x:v>Exclusivo / Variable</x:v>
      </x:c>
      <x:c r="L31" s="18" t="str">
        <x:v>Bogotá</x:v>
      </x:c>
      <x:c r="M31" s="18" t="str">
        <x:v>Feed visible</x:v>
      </x:c>
      <x:c r="N31" s="18" t="str"/>
    </x:row>
    <x:row r="32" ht="26.399999618530273" hidden="0" customHeight="1">
      <x:c r="A32" t="n">
        <x:v>31</x:v>
      </x:c>
      <x:c r="B32" s="18" t="str">
        <x:v>Mascara Cargador De Mascota Cepillo Vap Gratis</x:v>
      </x:c>
      <x:c r="C32" s="18" t="str">
        <x:v>Mascotas</x:v>
      </x:c>
      <x:c r="D32" s="18" t="str">
        <x:v>OH HOMIE</x:v>
      </x:c>
      <x:c r="E32" s="18" t="n">
        <x:v>299</x:v>
      </x:c>
      <x:c r="F32" s="28" t="n">
        <x:v>28000</x:v>
      </x:c>
      <x:c r="G32" s="28" t="n">
        <x:v>55000</x:v>
      </x:c>
      <x:c r="H32" s="28" t="n">
        <x:f>IF(OR(F32="",G32=""),"",G32-F32)</x:f>
        <x:v>27000</x:v>
      </x:c>
      <x:c r="I32" s="30" t="n">
        <x:f>IF(OR(F32="",G32="",G32=0),"",(G32-F32)/G32)</x:f>
        <x:v>0.4909090909090909</x:v>
      </x:c>
      <x:c r="J32" s="18" t="str">
        <x:v>Activo</x:v>
      </x:c>
      <x:c r="K32" s="18" t="str">
        <x:v>Exclusivo</x:v>
      </x:c>
      <x:c r="L32" s="18" t="str">
        <x:v>Bogotá</x:v>
      </x:c>
      <x:c r="M32" s="18" t="str">
        <x:v>Feed visible</x:v>
      </x:c>
      <x:c r="N32" s="18" t="str"/>
    </x:row>
    <x:row r="33" ht="15" hidden="0" customHeight="1">
      <x:c r="A33" t="n">
        <x:v>32</x:v>
      </x:c>
      <x:c r="B33" s="18" t="str">
        <x:v>Juego De Cubiertos Huevo</x:v>
      </x:c>
      <x:c r="C33" s="18" t="str">
        <x:v>Cocina</x:v>
      </x:c>
      <x:c r="D33" s="18" t="str">
        <x:v>OH HOMIE</x:v>
      </x:c>
      <x:c r="E33" s="18" t="n">
        <x:v>324</x:v>
      </x:c>
      <x:c r="F33" s="28" t="n">
        <x:v>84000</x:v>
      </x:c>
      <x:c r="G33" s="28" t="n">
        <x:v>130000</x:v>
      </x:c>
      <x:c r="H33" s="28" t="n">
        <x:f>IF(OR(F33="",G33=""),"",G33-F33)</x:f>
        <x:v>46000</x:v>
      </x:c>
      <x:c r="I33" s="30" t="n">
        <x:f>IF(OR(F33="",G33="",G33=0),"",(G33-F33)/G33)</x:f>
        <x:v>0.35384615384615387</x:v>
      </x:c>
      <x:c r="J33" s="18" t="str">
        <x:v>Activo</x:v>
      </x:c>
      <x:c r="K33" s="18" t="str">
        <x:v>Exclusivo / Variable</x:v>
      </x:c>
      <x:c r="L33" s="18" t="str">
        <x:v>Bogotá</x:v>
      </x:c>
      <x:c r="M33" s="18" t="str">
        <x:v>Feed visible</x:v>
      </x:c>
      <x:c r="N33" s="18" t="str"/>
    </x:row>
    <x:row r="34" ht="15" hidden="0" customHeight="1">
      <x:c r="A34" t="n">
        <x:v>33</x:v>
      </x:c>
      <x:c r="B34" s="18" t="str">
        <x:v>Lampara De Escritorio Ajustable</x:v>
      </x:c>
      <x:c r="C34" s="18" t="str">
        <x:v>Hogar</x:v>
      </x:c>
      <x:c r="D34" s="18" t="str">
        <x:v>OH HOMIE</x:v>
      </x:c>
      <x:c r="E34" s="18" t="n">
        <x:v>281</x:v>
      </x:c>
      <x:c r="F34" s="28" t="n">
        <x:v>40000</x:v>
      </x:c>
      <x:c r="G34" s="28" t="n">
        <x:v>50000</x:v>
      </x:c>
      <x:c r="H34" s="28" t="n">
        <x:f>IF(OR(F34="",G34=""),"",G34-F34)</x:f>
        <x:v>10000</x:v>
      </x:c>
      <x:c r="I34" s="30" t="n">
        <x:f>IF(OR(F34="",G34="",G34=0),"",(G34-F34)/G34)</x:f>
        <x:v>0.2</x:v>
      </x:c>
      <x:c r="J34" s="18" t="str">
        <x:v>Activo</x:v>
      </x:c>
      <x:c r="K34" s="18" t="str">
        <x:v>Exclusivo</x:v>
      </x:c>
      <x:c r="L34" s="18" t="str">
        <x:v>Bogotá</x:v>
      </x:c>
      <x:c r="M34" s="18" t="str">
        <x:v>Feed visible</x:v>
      </x:c>
      <x:c r="N34" s="18" t="str"/>
    </x:row>
    <x:row r="35" ht="15" hidden="0" customHeight="1">
      <x:c r="A35" t="n">
        <x:v>34</x:v>
      </x:c>
      <x:c r="B35" s="18" t="str">
        <x:v>Combo Bols Cargro Audifonos M27</x:v>
      </x:c>
      <x:c r="C35" s="18" t="str">
        <x:v>Tecnología</x:v>
      </x:c>
      <x:c r="D35" s="18" t="str">
        <x:v>OH HOMIE</x:v>
      </x:c>
      <x:c r="E35" s="18" t="n">
        <x:v>557</x:v>
      </x:c>
      <x:c r="F35" s="28" t="n">
        <x:v>50000</x:v>
      </x:c>
      <x:c r="G35" s="28" t="n">
        <x:v>78000</x:v>
      </x:c>
      <x:c r="H35" s="28" t="n">
        <x:f>IF(OR(F35="",G35=""),"",G35-F35)</x:f>
        <x:v>28000</x:v>
      </x:c>
      <x:c r="I35" s="30" t="n">
        <x:f>IF(OR(F35="",G35="",G35=0),"",(G35-F35)/G35)</x:f>
        <x:v>0.358974358974359</x:v>
      </x:c>
      <x:c r="J35" s="18" t="str">
        <x:v>Activo</x:v>
      </x:c>
      <x:c r="K35" s="18" t="str">
        <x:v>Exclusivo / Variable</x:v>
      </x:c>
      <x:c r="L35" s="18" t="str">
        <x:v>Bogotá</x:v>
      </x:c>
      <x:c r="M35" s="18" t="str">
        <x:v>Feed visible</x:v>
      </x:c>
      <x:c r="N35" s="18" t="str"/>
    </x:row>
    <x:row r="36" ht="15" hidden="0" customHeight="1">
      <x:c r="A36" t="n">
        <x:v>35</x:v>
      </x:c>
      <x:c r="B36" s="18" t="str">
        <x:v>Cabeza De Martillo Magnetica</x:v>
      </x:c>
      <x:c r="C36" s="18" t="str">
        <x:v>Otro</x:v>
      </x:c>
      <x:c r="D36" s="18" t="str">
        <x:v>OH HOMIE</x:v>
      </x:c>
      <x:c r="E36" s="18" t="n">
        <x:v>98</x:v>
      </x:c>
      <x:c r="F36" s="28" t="n">
        <x:v>19000</x:v>
      </x:c>
      <x:c r="G36" s="28" t="n">
        <x:v>36000</x:v>
      </x:c>
      <x:c r="H36" s="28" t="n">
        <x:f>IF(OR(F36="",G36=""),"",G36-F36)</x:f>
        <x:v>17000</x:v>
      </x:c>
      <x:c r="I36" s="30" t="n">
        <x:f>IF(OR(F36="",G36="",G36=0),"",(G36-F36)/G36)</x:f>
        <x:v>0.4722222222222222</x:v>
      </x:c>
      <x:c r="J36" s="18" t="str">
        <x:v>Activo</x:v>
      </x:c>
      <x:c r="K36" s="18" t="str">
        <x:v>Exclusivo</x:v>
      </x:c>
      <x:c r="L36" s="18" t="str">
        <x:v>Bogotá</x:v>
      </x:c>
      <x:c r="M36" s="18" t="str">
        <x:v>Feed visible</x:v>
      </x:c>
      <x:c r="N36" s="18" t="str"/>
    </x:row>
    <x:row r="37" ht="15" hidden="0" customHeight="1">
      <x:c r="A37" t="n">
        <x:v>36</x:v>
      </x:c>
      <x:c r="B37" s="18" t="str">
        <x:v>Molino De Cafe Y Granos Cafetera</x:v>
      </x:c>
      <x:c r="C37" s="18" t="str">
        <x:v>Cocina</x:v>
      </x:c>
      <x:c r="D37" s="18" t="str">
        <x:v>OH HOMIE</x:v>
      </x:c>
      <x:c r="E37" s="18" t="n">
        <x:v>682</x:v>
      </x:c>
      <x:c r="F37" s="28" t="n">
        <x:v>46500</x:v>
      </x:c>
      <x:c r="G37" s="28" t="n">
        <x:v>69500</x:v>
      </x:c>
      <x:c r="H37" s="28" t="n">
        <x:f>IF(OR(F37="",G37=""),"",G37-F37)</x:f>
        <x:v>23000</x:v>
      </x:c>
      <x:c r="I37" s="30" t="n">
        <x:f>IF(OR(F37="",G37="",G37=0),"",(G37-F37)/G37)</x:f>
        <x:v>0.33093525179856115</x:v>
      </x:c>
      <x:c r="J37" s="18" t="str">
        <x:v>Activo</x:v>
      </x:c>
      <x:c r="K37" s="18" t="str">
        <x:v>Exclusivo / Variable</x:v>
      </x:c>
      <x:c r="L37" s="18" t="str">
        <x:v>Bogotá</x:v>
      </x:c>
      <x:c r="M37" s="18" t="str">
        <x:v>Feed visible</x:v>
      </x:c>
      <x:c r="N37" s="18" t="str"/>
    </x:row>
    <x:row r="38" ht="15" hidden="0" customHeight="1">
      <x:c r="A38" t="n">
        <x:v>37</x:v>
      </x:c>
      <x:c r="B38" s="18" t="str">
        <x:v>Sensor De Humo 11711</x:v>
      </x:c>
      <x:c r="C38" s="18" t="str">
        <x:v>Tecnología</x:v>
      </x:c>
      <x:c r="D38" s="18" t="str">
        <x:v>OH HOMIE</x:v>
      </x:c>
      <x:c r="E38" s="18" t="n">
        <x:v>300</x:v>
      </x:c>
      <x:c r="F38" s="28" t="n">
        <x:v>43750</x:v>
      </x:c>
      <x:c r="G38" s="28" t="n">
        <x:v>55000</x:v>
      </x:c>
      <x:c r="H38" s="28" t="n">
        <x:f>IF(OR(F38="",G38=""),"",G38-F38)</x:f>
        <x:v>11250</x:v>
      </x:c>
      <x:c r="I38" s="30" t="n">
        <x:f>IF(OR(F38="",G38="",G38=0),"",(G38-F38)/G38)</x:f>
        <x:v>0.20454545454545456</x:v>
      </x:c>
      <x:c r="J38" s="18" t="str">
        <x:v>Activo</x:v>
      </x:c>
      <x:c r="K38" s="18" t="str">
        <x:v>Exclusivo</x:v>
      </x:c>
      <x:c r="L38" s="18" t="str">
        <x:v>Bogotá</x:v>
      </x:c>
      <x:c r="M38" s="18" t="str">
        <x:v>Feed visible</x:v>
      </x:c>
      <x:c r="N38" s="18" t="str"/>
    </x:row>
    <x:row r="39" ht="15" hidden="0" customHeight="1">
      <x:c r="A39" t="n">
        <x:v>38</x:v>
      </x:c>
      <x:c r="B39" s="18" t="str">
        <x:v>Canguro Multifuncion</x:v>
      </x:c>
      <x:c r="C39" s="18" t="str">
        <x:v>Moda</x:v>
      </x:c>
      <x:c r="D39" s="18" t="str">
        <x:v>OH HOMIE</x:v>
      </x:c>
      <x:c r="E39" s="18" t="n">
        <x:v>300</x:v>
      </x:c>
      <x:c r="F39" s="28" t="n">
        <x:v>35000</x:v>
      </x:c>
      <x:c r="G39" s="28" t="n">
        <x:v>50000</x:v>
      </x:c>
      <x:c r="H39" s="28" t="n">
        <x:f>IF(OR(F39="",G39=""),"",G39-F39)</x:f>
        <x:v>15000</x:v>
      </x:c>
      <x:c r="I39" s="30" t="n">
        <x:f>IF(OR(F39="",G39="",G39=0),"",(G39-F39)/G39)</x:f>
        <x:v>0.3</x:v>
      </x:c>
      <x:c r="J39" s="18" t="str">
        <x:v>Activo</x:v>
      </x:c>
      <x:c r="K39" s="18" t="str">
        <x:v>Exclusivo</x:v>
      </x:c>
      <x:c r="L39" s="18" t="str">
        <x:v>Bogotá</x:v>
      </x:c>
      <x:c r="M39" s="18" t="str">
        <x:v>Feed visible</x:v>
      </x:c>
      <x:c r="N39" s="18" t="str"/>
    </x:row>
    <x:row r="40" ht="15" hidden="0" customHeight="1">
      <x:c r="A40" t="n">
        <x:v>39</x:v>
      </x:c>
      <x:c r="B40" s="18" t="str">
        <x:v>Proyector Hy300 Magis</x:v>
      </x:c>
      <x:c r="C40" s="18" t="str">
        <x:v>Tecnología</x:v>
      </x:c>
      <x:c r="D40" s="18" t="str">
        <x:v>OH HOMIE</x:v>
      </x:c>
      <x:c r="E40" s="18" t="n">
        <x:v>295</x:v>
      </x:c>
      <x:c r="F40" s="28" t="n">
        <x:v>16250</x:v>
      </x:c>
      <x:c r="G40" s="28" t="n">
        <x:v>16000</x:v>
      </x:c>
      <x:c r="H40" s="28" t="n">
        <x:f>IF(OR(F40="",G40=""),"",G40-F40)</x:f>
        <x:v>-250</x:v>
      </x:c>
      <x:c r="I40" s="30" t="n">
        <x:f>IF(OR(F40="",G40="",G40=0),"",(G40-F40)/G40)</x:f>
        <x:v>-0.015625</x:v>
      </x:c>
      <x:c r="J40" s="18" t="str">
        <x:v>Activo</x:v>
      </x:c>
      <x:c r="K40" s="18" t="str">
        <x:v>Exclusivo</x:v>
      </x:c>
      <x:c r="L40" s="18" t="str">
        <x:v>Bogotá</x:v>
      </x:c>
      <x:c r="M40" s="18" t="str">
        <x:v>Feed visible</x:v>
      </x:c>
      <x:c r="N40" s="18" t="str">
        <x:v>Precio sugerido visible dudoso por recorte</x:v>
      </x:c>
    </x:row>
    <x:row r="41" ht="15" hidden="0" customHeight="1">
      <x:c r="A41" t="n">
        <x:v>40</x:v>
      </x:c>
      <x:c r="B41" s="18" t="str">
        <x:v>Maquina Portatil Quita Pelusas De Ropa</x:v>
      </x:c>
      <x:c r="C41" s="18" t="str">
        <x:v>Hogar</x:v>
      </x:c>
      <x:c r="D41" s="18" t="str">
        <x:v>OH HOMIE</x:v>
      </x:c>
      <x:c r="E41" s="18" t="n">
        <x:v>392</x:v>
      </x:c>
      <x:c r="F41" s="28" t="n">
        <x:v>15000</x:v>
      </x:c>
      <x:c r="G41" s="28" t="n">
        <x:v>28000</x:v>
      </x:c>
      <x:c r="H41" s="28" t="n">
        <x:f>IF(OR(F41="",G41=""),"",G41-F41)</x:f>
        <x:v>13000</x:v>
      </x:c>
      <x:c r="I41" s="30" t="n">
        <x:f>IF(OR(F41="",G41="",G41=0),"",(G41-F41)/G41)</x:f>
        <x:v>0.4642857142857143</x:v>
      </x:c>
      <x:c r="J41" s="18" t="str">
        <x:v>Activo</x:v>
      </x:c>
      <x:c r="K41" s="18" t="str">
        <x:v>Exclusivo</x:v>
      </x:c>
      <x:c r="L41" s="18" t="str">
        <x:v>Bogotá</x:v>
      </x:c>
      <x:c r="M41" s="18" t="str">
        <x:v>Feed visible</x:v>
      </x:c>
      <x:c r="N41" s="18" t="str"/>
    </x:row>
    <x:row r="42" ht="15" hidden="0" customHeight="1">
      <x:c r="A42" t="n">
        <x:v>41</x:v>
      </x:c>
      <x:c r="B42" s="18" t="str">
        <x:v>Combo Organizacion</x:v>
      </x:c>
      <x:c r="C42" s="18" t="str">
        <x:v>Hogar</x:v>
      </x:c>
      <x:c r="D42" s="18" t="str">
        <x:v>OH HOMIE</x:v>
      </x:c>
      <x:c r="E42" s="18" t="n">
        <x:v>73</x:v>
      </x:c>
      <x:c r="F42" s="28" t="n">
        <x:v>93000</x:v>
      </x:c>
      <x:c r="G42" s="28" t="n">
        <x:v>120000</x:v>
      </x:c>
      <x:c r="H42" s="28" t="n">
        <x:f>IF(OR(F42="",G42=""),"",G42-F42)</x:f>
        <x:v>27000</x:v>
      </x:c>
      <x:c r="I42" s="30" t="n">
        <x:f>IF(OR(F42="",G42="",G42=0),"",(G42-F42)/G42)</x:f>
        <x:v>0.225</x:v>
      </x:c>
      <x:c r="J42" s="18" t="str">
        <x:v>Activo</x:v>
      </x:c>
      <x:c r="K42" s="18" t="str">
        <x:v>Exclusivo / Variable</x:v>
      </x:c>
      <x:c r="L42" s="18" t="str">
        <x:v>Bogotá</x:v>
      </x:c>
      <x:c r="M42" s="18" t="str">
        <x:v>Feed visible</x:v>
      </x:c>
      <x:c r="N42" s="18" t="str"/>
    </x:row>
    <x:row r="43" ht="15" hidden="0" customHeight="1">
      <x:c r="A43" t="n">
        <x:v>42</x:v>
      </x:c>
      <x:c r="B43" s="18" t="str">
        <x:v>Organizador De Maquillaje Con Cajon</x:v>
      </x:c>
      <x:c r="C43" s="18" t="str">
        <x:v>Hogar</x:v>
      </x:c>
      <x:c r="D43" s="18" t="str">
        <x:v>OH HOMIE</x:v>
      </x:c>
      <x:c r="E43" s="18" t="n">
        <x:v>288</x:v>
      </x:c>
      <x:c r="F43" s="28" t="n">
        <x:v>23750</x:v>
      </x:c>
      <x:c r="G43" s="28" t="n">
        <x:v>36500</x:v>
      </x:c>
      <x:c r="H43" s="28" t="n">
        <x:f>IF(OR(F43="",G43=""),"",G43-F43)</x:f>
        <x:v>12750</x:v>
      </x:c>
      <x:c r="I43" s="30" t="n">
        <x:f>IF(OR(F43="",G43="",G43=0),"",(G43-F43)/G43)</x:f>
        <x:v>0.3493150684931507</x:v>
      </x:c>
      <x:c r="J43" s="18" t="str">
        <x:v>Activo</x:v>
      </x:c>
      <x:c r="K43" s="18" t="str">
        <x:v>Exclusivo</x:v>
      </x:c>
      <x:c r="L43" s="18" t="str">
        <x:v>Bogotá</x:v>
      </x:c>
      <x:c r="M43" s="18" t="str">
        <x:v>Feed visible</x:v>
      </x:c>
      <x:c r="N43" s="18" t="str"/>
    </x:row>
    <x:row r="44" ht="15" hidden="0" customHeight="1">
      <x:c r="A44" t="n">
        <x:v>43</x:v>
      </x:c>
      <x:c r="B44" s="18" t="str">
        <x:v>Bolso Peluche Stitch</x:v>
      </x:c>
      <x:c r="C44" s="18" t="str">
        <x:v>Moda</x:v>
      </x:c>
      <x:c r="D44" s="18" t="str">
        <x:v>OH HOMIE</x:v>
      </x:c>
      <x:c r="E44" s="18" t="n">
        <x:v>298</x:v>
      </x:c>
      <x:c r="F44" s="28" t="n">
        <x:v>32500</x:v>
      </x:c>
      <x:c r="G44" s="28" t="n">
        <x:v>52000</x:v>
      </x:c>
      <x:c r="H44" s="28" t="n">
        <x:f>IF(OR(F44="",G44=""),"",G44-F44)</x:f>
        <x:v>19500</x:v>
      </x:c>
      <x:c r="I44" s="30" t="n">
        <x:f>IF(OR(F44="",G44="",G44=0),"",(G44-F44)/G44)</x:f>
        <x:v>0.375</x:v>
      </x:c>
      <x:c r="J44" s="18" t="str">
        <x:v>Activo</x:v>
      </x:c>
      <x:c r="K44" s="18" t="str">
        <x:v>Exclusivo</x:v>
      </x:c>
      <x:c r="L44" s="18" t="str">
        <x:v>Bogotá</x:v>
      </x:c>
      <x:c r="M44" s="18" t="str">
        <x:v>Feed visible</x:v>
      </x:c>
      <x:c r="N44" s="18" t="str"/>
    </x:row>
    <x:row r="45" ht="15" hidden="0" customHeight="1">
      <x:c r="A45" t="n">
        <x:v>44</x:v>
      </x:c>
      <x:c r="B45" s="18" t="str">
        <x:v>Estanteria Lavandero O Bano Con Puerta</x:v>
      </x:c>
      <x:c r="C45" s="18" t="str">
        <x:v>Hogar</x:v>
      </x:c>
      <x:c r="D45" s="18" t="str">
        <x:v>OH HOMIE</x:v>
      </x:c>
      <x:c r="E45" s="18" t="n">
        <x:v>3</x:v>
      </x:c>
      <x:c r="F45" s="28" t="n">
        <x:v>44000</x:v>
      </x:c>
      <x:c r="G45" s="28" t="n">
        <x:v>59000</x:v>
      </x:c>
      <x:c r="H45" s="28" t="n">
        <x:f>IF(OR(F45="",G45=""),"",G45-F45)</x:f>
        <x:v>15000</x:v>
      </x:c>
      <x:c r="I45" s="30" t="n">
        <x:f>IF(OR(F45="",G45="",G45=0),"",(G45-F45)/G45)</x:f>
        <x:v>0.2542372881355932</x:v>
      </x:c>
      <x:c r="J45" s="18" t="str">
        <x:v>Activo</x:v>
      </x:c>
      <x:c r="K45" s="18" t="str">
        <x:v>Exclusivo</x:v>
      </x:c>
      <x:c r="L45" s="18" t="str">
        <x:v>Bogotá</x:v>
      </x:c>
      <x:c r="M45" s="18" t="str">
        <x:v>Feed visible</x:v>
      </x:c>
      <x:c r="N45" s="18" t="str"/>
    </x:row>
    <x:row r="46" ht="15" hidden="0" customHeight="1">
      <x:c r="A46" t="n">
        <x:v>45</x:v>
      </x:c>
      <x:c r="B46" s="18" t="str">
        <x:v>Jarra Dispensadora De Alimentos</x:v>
      </x:c>
      <x:c r="C46" s="18" t="str">
        <x:v>Cocina</x:v>
      </x:c>
      <x:c r="D46" s="18" t="str">
        <x:v>OH HOMIE</x:v>
      </x:c>
      <x:c r="E46" s="18" t="n">
        <x:v>250</x:v>
      </x:c>
      <x:c r="F46" s="28" t="n">
        <x:v>43750</x:v>
      </x:c>
      <x:c r="G46" s="28" t="n">
        <x:v>43750</x:v>
      </x:c>
      <x:c r="H46" s="28" t="n">
        <x:f>IF(OR(F46="",G46=""),"",G46-F46)</x:f>
        <x:v>0</x:v>
      </x:c>
      <x:c r="I46" s="30" t="n">
        <x:f>IF(OR(F46="",G46="",G46=0),"",(G46-F46)/G46)</x:f>
        <x:v>0</x:v>
      </x:c>
      <x:c r="J46" s="18" t="str">
        <x:v>Activo</x:v>
      </x:c>
      <x:c r="K46" s="18" t="str">
        <x:v>Exclusivo</x:v>
      </x:c>
      <x:c r="L46" s="18" t="str">
        <x:v>Bogotá</x:v>
      </x:c>
      <x:c r="M46" s="18" t="str">
        <x:v>Feed visible</x:v>
      </x:c>
      <x:c r="N46" s="18" t="str"/>
    </x:row>
    <x:row r="47" ht="15" hidden="0" customHeight="1">
      <x:c r="A47" t="n">
        <x:v>46</x:v>
      </x:c>
      <x:c r="B47" s="18" t="str">
        <x:v>Espejo Retrovisor Ajustable</x:v>
      </x:c>
      <x:c r="C47" s="18" t="str">
        <x:v>Vehículos</x:v>
      </x:c>
      <x:c r="D47" s="18" t="str">
        <x:v>OH HOMIE</x:v>
      </x:c>
      <x:c r="E47" s="18" t="n">
        <x:v>295</x:v>
      </x:c>
      <x:c r="F47" s="28" t="n">
        <x:v>37500</x:v>
      </x:c>
      <x:c r="G47" s="28" t="n">
        <x:v>57000</x:v>
      </x:c>
      <x:c r="H47" s="28" t="n">
        <x:f>IF(OR(F47="",G47=""),"",G47-F47)</x:f>
        <x:v>19500</x:v>
      </x:c>
      <x:c r="I47" s="30" t="n">
        <x:f>IF(OR(F47="",G47="",G47=0),"",(G47-F47)/G47)</x:f>
        <x:v>0.34210526315789475</x:v>
      </x:c>
      <x:c r="J47" s="18" t="str">
        <x:v>Activo</x:v>
      </x:c>
      <x:c r="K47" s="18" t="str">
        <x:v>Exclusivo</x:v>
      </x:c>
      <x:c r="L47" s="18" t="str">
        <x:v>Bogotá</x:v>
      </x:c>
      <x:c r="M47" s="18" t="str">
        <x:v>Feed visible</x:v>
      </x:c>
      <x:c r="N47" s="18" t="str"/>
    </x:row>
    <x:row r="48" ht="15" hidden="0" customHeight="1">
      <x:c r="A48" t="n">
        <x:v>47</x:v>
      </x:c>
      <x:c r="B48" s="18" t="str">
        <x:v>Lampara Alcancia D2020515</x:v>
      </x:c>
      <x:c r="C48" s="18" t="str">
        <x:v>Hogar</x:v>
      </x:c>
      <x:c r="D48" s="18" t="str">
        <x:v>OH HOMIE</x:v>
      </x:c>
      <x:c r="E48" s="18" t="n">
        <x:v>300</x:v>
      </x:c>
      <x:c r="F48" s="28" t="n">
        <x:v>32000</x:v>
      </x:c>
      <x:c r="G48" s="28" t="n">
        <x:v>95000</x:v>
      </x:c>
      <x:c r="H48" s="28" t="n">
        <x:f>IF(OR(F48="",G48=""),"",G48-F48)</x:f>
        <x:v>63000</x:v>
      </x:c>
      <x:c r="I48" s="30" t="n">
        <x:f>IF(OR(F48="",G48="",G48=0),"",(G48-F48)/G48)</x:f>
        <x:v>0.6631578947368421</x:v>
      </x:c>
      <x:c r="J48" s="18" t="str">
        <x:v>Activo</x:v>
      </x:c>
      <x:c r="K48" s="18" t="str">
        <x:v>Exclusivo</x:v>
      </x:c>
      <x:c r="L48" s="18" t="str">
        <x:v>Bogotá</x:v>
      </x:c>
      <x:c r="M48" s="18" t="str">
        <x:v>Feed visible</x:v>
      </x:c>
      <x:c r="N48" s="18" t="str"/>
    </x:row>
    <x:row r="49" ht="15" hidden="0" customHeight="1">
      <x:c r="A49" t="n">
        <x:v>48</x:v>
      </x:c>
      <x:c r="B49" s="18" t="str">
        <x:v>Lampara Solar De 3 Cabezas 192 Led</x:v>
      </x:c>
      <x:c r="C49" s="18" t="str">
        <x:v>Hogar</x:v>
      </x:c>
      <x:c r="D49" s="18" t="str">
        <x:v>OH HOMIE</x:v>
      </x:c>
      <x:c r="E49" s="18" t="n">
        <x:v>262</x:v>
      </x:c>
      <x:c r="F49" s="28" t="n">
        <x:v>50000</x:v>
      </x:c>
      <x:c r="G49" s="28" t="n">
        <x:v>70000</x:v>
      </x:c>
      <x:c r="H49" s="28" t="n">
        <x:f>IF(OR(F49="",G49=""),"",G49-F49)</x:f>
        <x:v>20000</x:v>
      </x:c>
      <x:c r="I49" s="30" t="n">
        <x:f>IF(OR(F49="",G49="",G49=0),"",(G49-F49)/G49)</x:f>
        <x:v>0.2857142857142857</x:v>
      </x:c>
      <x:c r="J49" s="18" t="str">
        <x:v>Activo</x:v>
      </x:c>
      <x:c r="K49" s="18" t="str">
        <x:v>Exclusivo</x:v>
      </x:c>
      <x:c r="L49" s="18" t="str">
        <x:v>Bogotá</x:v>
      </x:c>
      <x:c r="M49" s="18" t="str">
        <x:v>Feed visible</x:v>
      </x:c>
      <x:c r="N49" s="18" t="str"/>
    </x:row>
    <x:row r="50" ht="15" hidden="0" customHeight="1">
      <x:c r="A50" t="n">
        <x:v>49</x:v>
      </x:c>
      <x:c r="B50" s="18" t="str">
        <x:v>Ventilador Recargable 5 Puertos Usb</x:v>
      </x:c>
      <x:c r="C50" s="18" t="str">
        <x:v>Tecnología</x:v>
      </x:c>
      <x:c r="D50" s="18" t="str">
        <x:v>OH HOMIE</x:v>
      </x:c>
      <x:c r="E50" s="18" t="n">
        <x:v>399</x:v>
      </x:c>
      <x:c r="F50" s="28" t="n">
        <x:v>27500</x:v>
      </x:c>
      <x:c r="G50" s="28" t="n">
        <x:v>42000</x:v>
      </x:c>
      <x:c r="H50" s="28" t="n">
        <x:f>IF(OR(F50="",G50=""),"",G50-F50)</x:f>
        <x:v>14500</x:v>
      </x:c>
      <x:c r="I50" s="30" t="n">
        <x:f>IF(OR(F50="",G50="",G50=0),"",(G50-F50)/G50)</x:f>
        <x:v>0.34523809523809523</x:v>
      </x:c>
      <x:c r="J50" s="18" t="str">
        <x:v>Activo</x:v>
      </x:c>
      <x:c r="K50" s="18" t="str">
        <x:v>Exclusivo</x:v>
      </x:c>
      <x:c r="L50" s="18" t="str">
        <x:v>Bogotá</x:v>
      </x:c>
      <x:c r="M50" s="18" t="str">
        <x:v>Feed visible</x:v>
      </x:c>
      <x:c r="N50" s="18" t="str"/>
    </x:row>
    <x:row r="51" ht="15" hidden="0" customHeight="1">
      <x:c r="A51" t="n">
        <x:v>50</x:v>
      </x:c>
      <x:c r="B51" s="18" t="str">
        <x:v>Camping Para 4 Personas Dt045</x:v>
      </x:c>
      <x:c r="C51" s="18" t="str">
        <x:v>Camping</x:v>
      </x:c>
      <x:c r="D51" s="18" t="str">
        <x:v>OH HOMIE</x:v>
      </x:c>
      <x:c r="E51" s="18" t="n">
        <x:v>295</x:v>
      </x:c>
      <x:c r="F51" s="28" t="n">
        <x:v>66000</x:v>
      </x:c>
      <x:c r="G51" s="28" t="n">
        <x:v>100000</x:v>
      </x:c>
      <x:c r="H51" s="28" t="n">
        <x:f>IF(OR(F51="",G51=""),"",G51-F51)</x:f>
        <x:v>34000</x:v>
      </x:c>
      <x:c r="I51" s="30" t="n">
        <x:f>IF(OR(F51="",G51="",G51=0),"",(G51-F51)/G51)</x:f>
        <x:v>0.34</x:v>
      </x:c>
      <x:c r="J51" s="18" t="str">
        <x:v>Activo</x:v>
      </x:c>
      <x:c r="K51" s="18" t="str">
        <x:v>Exclusivo</x:v>
      </x:c>
      <x:c r="L51" s="18" t="str">
        <x:v>Bogotá</x:v>
      </x:c>
      <x:c r="M51" s="18" t="str">
        <x:v>Feed visible</x:v>
      </x:c>
      <x:c r="N51" s="18" t="str"/>
    </x:row>
    <x:row r="52" ht="15" hidden="0" customHeight="1">
      <x:c r="A52" t="n">
        <x:v>51</x:v>
      </x:c>
      <x:c r="B52" s="18" t="str">
        <x:v>Tensiometro Con Voz Espanol</x:v>
      </x:c>
      <x:c r="C52" s="18" t="str">
        <x:v>Salud</x:v>
      </x:c>
      <x:c r="D52" s="18" t="str">
        <x:v>OH HOMIE</x:v>
      </x:c>
      <x:c r="E52" s="18" t="n">
        <x:v>297</x:v>
      </x:c>
      <x:c r="F52" s="28" t="n">
        <x:v>74400</x:v>
      </x:c>
      <x:c r="G52" s="28" t="n">
        <x:v>84400</x:v>
      </x:c>
      <x:c r="H52" s="28" t="n">
        <x:f>IF(OR(F52="",G52=""),"",G52-F52)</x:f>
        <x:v>10000</x:v>
      </x:c>
      <x:c r="I52" s="30" t="n">
        <x:f>IF(OR(F52="",G52="",G52=0),"",(G52-F52)/G52)</x:f>
        <x:v>0.11848341232227488</x:v>
      </x:c>
      <x:c r="J52" s="18" t="str">
        <x:v>Activo</x:v>
      </x:c>
      <x:c r="K52" s="18" t="str">
        <x:v>Exclusivo</x:v>
      </x:c>
      <x:c r="L52" s="18" t="str">
        <x:v>Bogotá</x:v>
      </x:c>
      <x:c r="M52" s="18" t="str">
        <x:v>Feed visible</x:v>
      </x:c>
      <x:c r="N52" s="18" t="str"/>
    </x:row>
    <x:row r="53" ht="15" hidden="0" customHeight="1">
      <x:c r="A53" t="n">
        <x:v>52</x:v>
      </x:c>
      <x:c r="B53" s="18" t="str">
        <x:v>Lampara Solar C115</x:v>
      </x:c>
      <x:c r="C53" s="18" t="str">
        <x:v>Hogar</x:v>
      </x:c>
      <x:c r="D53" s="18" t="str">
        <x:v>OH HOMIE</x:v>
      </x:c>
      <x:c r="E53" s="18" t="n">
        <x:v>40</x:v>
      </x:c>
      <x:c r="F53" s="28" t="n">
        <x:v>55000</x:v>
      </x:c>
      <x:c r="G53" s="28" t="n">
        <x:v>85000</x:v>
      </x:c>
      <x:c r="H53" s="28" t="n">
        <x:f>IF(OR(F53="",G53=""),"",G53-F53)</x:f>
        <x:v>30000</x:v>
      </x:c>
      <x:c r="I53" s="30" t="n">
        <x:f>IF(OR(F53="",G53="",G53=0),"",(G53-F53)/G53)</x:f>
        <x:v>0.35294117647058826</x:v>
      </x:c>
      <x:c r="J53" s="18" t="str">
        <x:v>Activo</x:v>
      </x:c>
      <x:c r="K53" s="18" t="str">
        <x:v>Exclusivo</x:v>
      </x:c>
      <x:c r="L53" s="18" t="str">
        <x:v>Bogotá</x:v>
      </x:c>
      <x:c r="M53" s="18" t="str">
        <x:v>Feed visible</x:v>
      </x:c>
      <x:c r="N53" s="18" t="str"/>
    </x:row>
    <x:row r="54" ht="15" hidden="0" customHeight="1">
      <x:c r="A54" t="n">
        <x:v>53</x:v>
      </x:c>
      <x:c r="B54" s="18" t="str">
        <x:v>Set Manicure Salonsharp Pd37</x:v>
      </x:c>
      <x:c r="C54" s="18" t="str">
        <x:v>Belleza</x:v>
      </x:c>
      <x:c r="D54" s="18" t="str">
        <x:v>OH HOMIE</x:v>
      </x:c>
      <x:c r="E54" s="18" t="n">
        <x:v>300</x:v>
      </x:c>
      <x:c r="F54" s="28" t="n">
        <x:v>18000</x:v>
      </x:c>
      <x:c r="G54" s="28" t="n">
        <x:v>38000</x:v>
      </x:c>
      <x:c r="H54" s="28" t="n">
        <x:f>IF(OR(F54="",G54=""),"",G54-F54)</x:f>
        <x:v>20000</x:v>
      </x:c>
      <x:c r="I54" s="30" t="n">
        <x:f>IF(OR(F54="",G54="",G54=0),"",(G54-F54)/G54)</x:f>
        <x:v>0.5263157894736842</x:v>
      </x:c>
      <x:c r="J54" s="18" t="str">
        <x:v>Activo</x:v>
      </x:c>
      <x:c r="K54" s="18" t="str">
        <x:v>Exclusivo</x:v>
      </x:c>
      <x:c r="L54" s="18" t="str">
        <x:v>Bogotá</x:v>
      </x:c>
      <x:c r="M54" s="18" t="str">
        <x:v>Feed visible</x:v>
      </x:c>
      <x:c r="N54" s="18" t="str"/>
    </x:row>
    <x:row r="55" ht="15" hidden="0" customHeight="1">
      <x:c r="A55" t="n">
        <x:v>54</x:v>
      </x:c>
      <x:c r="B55" s="18" t="str">
        <x:v>Molino Picador Electrico Obsequio</x:v>
      </x:c>
      <x:c r="C55" s="18" t="str">
        <x:v>Cocina</x:v>
      </x:c>
      <x:c r="D55" s="18" t="str">
        <x:v>OH HOMIE</x:v>
      </x:c>
      <x:c r="E55" s="18" t="n">
        <x:v>198</x:v>
      </x:c>
      <x:c r="F55" s="28" t="n">
        <x:v>47000</x:v>
      </x:c>
      <x:c r="G55" s="28" t="n">
        <x:v>53000</x:v>
      </x:c>
      <x:c r="H55" s="28" t="n">
        <x:f>IF(OR(F55="",G55=""),"",G55-F55)</x:f>
        <x:v>6000</x:v>
      </x:c>
      <x:c r="I55" s="30" t="n">
        <x:f>IF(OR(F55="",G55="",G55=0),"",(G55-F55)/G55)</x:f>
        <x:v>0.11320754716981132</x:v>
      </x:c>
      <x:c r="J55" s="18" t="str">
        <x:v>Activo</x:v>
      </x:c>
      <x:c r="K55" s="18" t="str">
        <x:v>Exclusivo</x:v>
      </x:c>
      <x:c r="L55" s="18" t="str">
        <x:v>Bogotá</x:v>
      </x:c>
      <x:c r="M55" s="18" t="str">
        <x:v>Feed visible</x:v>
      </x:c>
      <x:c r="N55" s="18" t="str"/>
    </x:row>
    <x:row r="56" ht="15" hidden="0" customHeight="1">
      <x:c r="A56" t="n">
        <x:v>55</x:v>
      </x:c>
      <x:c r="B56" s="18" t="str">
        <x:v>Molde Reposteria X3 Black Day</x:v>
      </x:c>
      <x:c r="C56" s="18" t="str">
        <x:v>Cocina</x:v>
      </x:c>
      <x:c r="D56" s="18" t="str">
        <x:v>OH HOMIE</x:v>
      </x:c>
      <x:c r="E56" s="18" t="n">
        <x:v>240</x:v>
      </x:c>
      <x:c r="F56" s="28" t="n">
        <x:v>33500</x:v>
      </x:c>
      <x:c r="G56" s="28" t="n">
        <x:v>42000</x:v>
      </x:c>
      <x:c r="H56" s="28" t="n">
        <x:f>IF(OR(F56="",G56=""),"",G56-F56)</x:f>
        <x:v>8500</x:v>
      </x:c>
      <x:c r="I56" s="30" t="n">
        <x:f>IF(OR(F56="",G56="",G56=0),"",(G56-F56)/G56)</x:f>
        <x:v>0.20238095238095238</x:v>
      </x:c>
      <x:c r="J56" s="18" t="str">
        <x:v>Activo</x:v>
      </x:c>
      <x:c r="K56" s="18" t="str">
        <x:v>Exclusivo</x:v>
      </x:c>
      <x:c r="L56" s="18" t="str">
        <x:v>Bogotá</x:v>
      </x:c>
      <x:c r="M56" s="18" t="str">
        <x:v>Feed visible</x:v>
      </x:c>
      <x:c r="N56" s="18" t="str"/>
    </x:row>
    <x:row r="57" ht="15" hidden="0" customHeight="1">
      <x:c r="A57" t="n">
        <x:v>56</x:v>
      </x:c>
      <x:c r="B57" s="18" t="str">
        <x:v>Bolsa Organizadora 180l</x:v>
      </x:c>
      <x:c r="C57" s="18" t="str">
        <x:v>Hogar</x:v>
      </x:c>
      <x:c r="D57" s="18" t="str">
        <x:v>OH HOMIE</x:v>
      </x:c>
      <x:c r="E57" s="18" t="n">
        <x:v>174</x:v>
      </x:c>
      <x:c r="F57" s="28" t="n">
        <x:v>18000</x:v>
      </x:c>
      <x:c r="G57" s="28" t="n">
        <x:v>36000</x:v>
      </x:c>
      <x:c r="H57" s="28" t="n">
        <x:f>IF(OR(F57="",G57=""),"",G57-F57)</x:f>
        <x:v>18000</x:v>
      </x:c>
      <x:c r="I57" s="30" t="n">
        <x:f>IF(OR(F57="",G57="",G57=0),"",(G57-F57)/G57)</x:f>
        <x:v>0.5</x:v>
      </x:c>
      <x:c r="J57" s="18" t="str">
        <x:v>Activo</x:v>
      </x:c>
      <x:c r="K57" s="18" t="str">
        <x:v>Exclusivo</x:v>
      </x:c>
      <x:c r="L57" s="18" t="str">
        <x:v>Bogotá</x:v>
      </x:c>
      <x:c r="M57" s="18" t="str">
        <x:v>Feed visible</x:v>
      </x:c>
      <x:c r="N57" s="18" t="str"/>
    </x:row>
    <x:row r="58" ht="15" hidden="0" customHeight="1">
      <x:c r="A58" t="n">
        <x:v>57</x:v>
      </x:c>
      <x:c r="B58" s="18" t="str">
        <x:v>Zapatero Plegable 6 Niveles</x:v>
      </x:c>
      <x:c r="C58" s="18" t="str">
        <x:v>Hogar</x:v>
      </x:c>
      <x:c r="D58" s="18" t="str">
        <x:v>OH HOMIE</x:v>
      </x:c>
      <x:c r="E58" s="18" t="n">
        <x:v>239</x:v>
      </x:c>
      <x:c r="F58" s="28" t="n">
        <x:v>78000</x:v>
      </x:c>
      <x:c r="G58" s="28" t="n">
        <x:v>100000</x:v>
      </x:c>
      <x:c r="H58" s="28" t="n">
        <x:f>IF(OR(F58="",G58=""),"",G58-F58)</x:f>
        <x:v>22000</x:v>
      </x:c>
      <x:c r="I58" s="30" t="n">
        <x:f>IF(OR(F58="",G58="",G58=0),"",(G58-F58)/G58)</x:f>
        <x:v>0.22</x:v>
      </x:c>
      <x:c r="J58" s="18" t="str">
        <x:v>Activo</x:v>
      </x:c>
      <x:c r="K58" s="18" t="str">
        <x:v>Exclusivo</x:v>
      </x:c>
      <x:c r="L58" s="18" t="str">
        <x:v>Bogotá</x:v>
      </x:c>
      <x:c r="M58" s="18" t="str">
        <x:v>Feed visible</x:v>
      </x:c>
      <x:c r="N58" s="18" t="str"/>
    </x:row>
    <x:row r="59" ht="15" hidden="0" customHeight="1">
      <x:c r="A59" t="n">
        <x:v>58</x:v>
      </x:c>
      <x:c r="B59" s="18" t="str">
        <x:v>Combo Ejercitadorpelvicom</x:v>
      </x:c>
      <x:c r="C59" s="18" t="str">
        <x:v>Salud</x:v>
      </x:c>
      <x:c r="D59" s="18" t="str">
        <x:v>OH HOMIE</x:v>
      </x:c>
      <x:c r="E59" s="18" t="n">
        <x:v>298</x:v>
      </x:c>
      <x:c r="F59" s="28" t="n">
        <x:v>25300</x:v>
      </x:c>
      <x:c r="G59" s="28" t="n">
        <x:v>40300</x:v>
      </x:c>
      <x:c r="H59" s="28" t="n">
        <x:f>IF(OR(F59="",G59=""),"",G59-F59)</x:f>
        <x:v>15000</x:v>
      </x:c>
      <x:c r="I59" s="30" t="n">
        <x:f>IF(OR(F59="",G59="",G59=0),"",(G59-F59)/G59)</x:f>
        <x:v>0.37220843672456577</x:v>
      </x:c>
      <x:c r="J59" s="18" t="str">
        <x:v>Activo</x:v>
      </x:c>
      <x:c r="K59" s="18" t="str">
        <x:v>Exclusivo</x:v>
      </x:c>
      <x:c r="L59" s="18" t="str">
        <x:v>Bogotá</x:v>
      </x:c>
      <x:c r="M59" s="18" t="str">
        <x:v>Feed visible</x:v>
      </x:c>
      <x:c r="N59" s="18" t="str"/>
    </x:row>
    <x:row r="60" ht="15" hidden="0" customHeight="1">
      <x:c r="A60" t="n">
        <x:v>59</x:v>
      </x:c>
      <x:c r="B60" s="18" t="str">
        <x:v>Juego Herramienta 46 Piezas</x:v>
      </x:c>
      <x:c r="C60" s="18" t="str">
        <x:v>Herramientas</x:v>
      </x:c>
      <x:c r="D60" s="18" t="str">
        <x:v>OH HOMIE</x:v>
      </x:c>
      <x:c r="E60" s="18" t="n">
        <x:v>295</x:v>
      </x:c>
      <x:c r="F60" s="28" t="n">
        <x:v>26000</x:v>
      </x:c>
      <x:c r="G60" s="28" t="n">
        <x:v>52000</x:v>
      </x:c>
      <x:c r="H60" s="28" t="n">
        <x:f>IF(OR(F60="",G60=""),"",G60-F60)</x:f>
        <x:v>26000</x:v>
      </x:c>
      <x:c r="I60" s="30" t="n">
        <x:f>IF(OR(F60="",G60="",G60=0),"",(G60-F60)/G60)</x:f>
        <x:v>0.5</x:v>
      </x:c>
      <x:c r="J60" s="18" t="str">
        <x:v>Activo</x:v>
      </x:c>
      <x:c r="K60" s="18" t="str">
        <x:v>Exclusivo</x:v>
      </x:c>
      <x:c r="L60" s="18" t="str">
        <x:v>Bogotá</x:v>
      </x:c>
      <x:c r="M60" s="18" t="str">
        <x:v>Feed visible</x:v>
      </x:c>
      <x:c r="N60" s="18" t="str"/>
    </x:row>
    <x:row r="61" ht="26.399999618530273" hidden="0" customHeight="1">
      <x:c r="A61" t="n">
        <x:v>60</x:v>
      </x:c>
      <x:c r="B61" s="18" t="str">
        <x:v>Malla De Seguridad Para Mascotas Y Bebes</x:v>
      </x:c>
      <x:c r="C61" s="18" t="str">
        <x:v>Mascotas</x:v>
      </x:c>
      <x:c r="D61" s="18" t="str">
        <x:v>OH HOMIE</x:v>
      </x:c>
      <x:c r="E61" s="18" t="n">
        <x:v>352</x:v>
      </x:c>
      <x:c r="F61" s="28" t="n">
        <x:v>16000</x:v>
      </x:c>
      <x:c r="G61" s="28" t="n">
        <x:v>30000</x:v>
      </x:c>
      <x:c r="H61" s="28" t="n">
        <x:f>IF(OR(F61="",G61=""),"",G61-F61)</x:f>
        <x:v>14000</x:v>
      </x:c>
      <x:c r="I61" s="30" t="n">
        <x:f>IF(OR(F61="",G61="",G61=0),"",(G61-F61)/G61)</x:f>
        <x:v>0.4666666666666667</x:v>
      </x:c>
      <x:c r="J61" s="18" t="str">
        <x:v>Activo</x:v>
      </x:c>
      <x:c r="K61" s="18" t="str">
        <x:v>Exclusivo</x:v>
      </x:c>
      <x:c r="L61" s="18" t="str">
        <x:v>Bogotá</x:v>
      </x:c>
      <x:c r="M61" s="18" t="str">
        <x:v>Feed visible</x:v>
      </x:c>
      <x:c r="N61" s="18" t="str"/>
    </x:row>
    <x:row r="62" ht="15" hidden="0" customHeight="1">
      <x:c r="A62" t="n">
        <x:v>61</x:v>
      </x:c>
      <x:c r="B62" s="18" t="str">
        <x:v>Comboinfant Smartwatchemboxau</x:v>
      </x:c>
      <x:c r="C62" s="18" t="str">
        <x:v>Moda</x:v>
      </x:c>
      <x:c r="D62" s="18" t="str">
        <x:v>OH HOMIE</x:v>
      </x:c>
      <x:c r="E62" s="18" t="n">
        <x:v>1481</x:v>
      </x:c>
      <x:c r="F62" s="28" t="n">
        <x:v>95000</x:v>
      </x:c>
      <x:c r="G62" s="28" t="n">
        <x:v>115000</x:v>
      </x:c>
      <x:c r="H62" s="28" t="n">
        <x:f>IF(OR(F62="",G62=""),"",G62-F62)</x:f>
        <x:v>20000</x:v>
      </x:c>
      <x:c r="I62" s="30" t="n">
        <x:f>IF(OR(F62="",G62="",G62=0),"",(G62-F62)/G62)</x:f>
        <x:v>0.17391304347826086</x:v>
      </x:c>
      <x:c r="J62" s="18" t="str">
        <x:v>Activo</x:v>
      </x:c>
      <x:c r="K62" s="18" t="str">
        <x:v>Exclusivo / Variable</x:v>
      </x:c>
      <x:c r="L62" s="18" t="str">
        <x:v>Bogotá</x:v>
      </x:c>
      <x:c r="M62" s="18" t="str">
        <x:v>Feed visible</x:v>
      </x:c>
      <x:c r="N62" s="18" t="str"/>
    </x:row>
    <x:row r="63" ht="15" hidden="0" customHeight="1">
      <x:c r="A63" t="n">
        <x:v>62</x:v>
      </x:c>
      <x:c r="B63" s="18" t="str">
        <x:v>Colageno Mascarilla Vitamina C Concentra</x:v>
      </x:c>
      <x:c r="C63" s="18" t="str">
        <x:v>Belleza</x:v>
      </x:c>
      <x:c r="D63" s="18" t="str">
        <x:v>OH HOMIE</x:v>
      </x:c>
      <x:c r="E63" s="18" t="n">
        <x:v>292</x:v>
      </x:c>
      <x:c r="F63" s="28" t="n">
        <x:v>13000</x:v>
      </x:c>
      <x:c r="G63" s="28" t="n">
        <x:v>28000</x:v>
      </x:c>
      <x:c r="H63" s="28" t="n">
        <x:f>IF(OR(F63="",G63=""),"",G63-F63)</x:f>
        <x:v>15000</x:v>
      </x:c>
      <x:c r="I63" s="30" t="n">
        <x:f>IF(OR(F63="",G63="",G63=0),"",(G63-F63)/G63)</x:f>
        <x:v>0.5357142857142857</x:v>
      </x:c>
      <x:c r="J63" s="18" t="str">
        <x:v>Activo</x:v>
      </x:c>
      <x:c r="K63" s="18" t="str">
        <x:v>Exclusivo</x:v>
      </x:c>
      <x:c r="L63" s="18" t="str">
        <x:v>Bogotá</x:v>
      </x:c>
      <x:c r="M63" s="18" t="str">
        <x:v>Feed visible</x:v>
      </x:c>
      <x:c r="N63" s="18" t="str"/>
    </x:row>
    <x:row r="64" ht="15" hidden="0" customHeight="1">
      <x:c r="A64" t="n">
        <x:v>63</x:v>
      </x:c>
      <x:c r="B64" s="18" t="str">
        <x:v>Espejo Con Luz Led</x:v>
      </x:c>
      <x:c r="C64" s="18" t="str">
        <x:v>Belleza</x:v>
      </x:c>
      <x:c r="D64" s="18" t="str">
        <x:v>OH HOMIE</x:v>
      </x:c>
      <x:c r="E64" s="18" t="n">
        <x:v>199</x:v>
      </x:c>
      <x:c r="F64" s="28" t="n">
        <x:v>22000</x:v>
      </x:c>
      <x:c r="G64" s="28" t="n">
        <x:v>30000</x:v>
      </x:c>
      <x:c r="H64" s="28" t="n">
        <x:f>IF(OR(F64="",G64=""),"",G64-F64)</x:f>
        <x:v>8000</x:v>
      </x:c>
      <x:c r="I64" s="30" t="n">
        <x:f>IF(OR(F64="",G64="",G64=0),"",(G64-F64)/G64)</x:f>
        <x:v>0.26666666666666666</x:v>
      </x:c>
      <x:c r="J64" s="18" t="str">
        <x:v>Activo</x:v>
      </x:c>
      <x:c r="K64" s="18" t="str">
        <x:v>Exclusivo</x:v>
      </x:c>
      <x:c r="L64" s="18" t="str">
        <x:v>Bogotá</x:v>
      </x:c>
      <x:c r="M64" s="18" t="str">
        <x:v>Feed visible</x:v>
      </x:c>
      <x:c r="N64" s="18" t="str"/>
    </x:row>
    <x:row r="65" ht="15" hidden="0" customHeight="1">
      <x:c r="A65" t="n">
        <x:v>64</x:v>
      </x:c>
      <x:c r="B65" s="18" t="str">
        <x:v>Fundidora De Chocolate Doble Pd72</x:v>
      </x:c>
      <x:c r="C65" s="18" t="str">
        <x:v>Cocina</x:v>
      </x:c>
      <x:c r="D65" s="18" t="str">
        <x:v>OH HOMIE</x:v>
      </x:c>
      <x:c r="E65" s="18" t="n">
        <x:v>247</x:v>
      </x:c>
      <x:c r="F65" s="28" t="n">
        <x:v>65000</x:v>
      </x:c>
      <x:c r="G65" s="28" t="n">
        <x:v>89900</x:v>
      </x:c>
      <x:c r="H65" s="28" t="n">
        <x:f>IF(OR(F65="",G65=""),"",G65-F65)</x:f>
        <x:v>24900</x:v>
      </x:c>
      <x:c r="I65" s="30" t="n">
        <x:f>IF(OR(F65="",G65="",G65=0),"",(G65-F65)/G65)</x:f>
        <x:v>0.27697441601779754</x:v>
      </x:c>
      <x:c r="J65" s="18" t="str">
        <x:v>Activo</x:v>
      </x:c>
      <x:c r="K65" s="18" t="str">
        <x:v>Exclusivo</x:v>
      </x:c>
      <x:c r="L65" s="18" t="str">
        <x:v>Bogotá</x:v>
      </x:c>
      <x:c r="M65" s="18" t="str">
        <x:v>Feed visible</x:v>
      </x:c>
      <x:c r="N65" s="18" t="str"/>
    </x:row>
    <x:row r="66" ht="15" hidden="0" customHeight="1">
      <x:c r="A66" t="n">
        <x:v>65</x:v>
      </x:c>
      <x:c r="B66" s="18" t="str">
        <x:v>Combo Reloj T500 Canguroaudifonos M10</x:v>
      </x:c>
      <x:c r="C66" s="18" t="str">
        <x:v>Tecnología</x:v>
      </x:c>
      <x:c r="D66" s="18" t="str">
        <x:v>OH HOMIE</x:v>
      </x:c>
      <x:c r="E66" s="18" t="n">
        <x:v>162</x:v>
      </x:c>
      <x:c r="F66" s="28" t="n">
        <x:v>58000</x:v>
      </x:c>
      <x:c r="G66" s="28"/>
      <x:c r="H66" s="28" t="str">
        <x:f>IF(OR(F66="",G66=""),"",G66-F66)</x:f>
      </x:c>
      <x:c r="I66" s="30" t="str">
        <x:f>IF(OR(F66="",G66="",G66=0),"",(G66-F66)/G66)</x:f>
      </x:c>
      <x:c r="J66" s="18" t="str">
        <x:v>Activo</x:v>
      </x:c>
      <x:c r="K66" s="18" t="str">
        <x:v>Exclusivo / Variable</x:v>
      </x:c>
      <x:c r="L66" s="18" t="str">
        <x:v>Bogotá</x:v>
      </x:c>
      <x:c r="M66" s="18" t="str">
        <x:v>Feed visible</x:v>
      </x:c>
      <x:c r="N66" s="18" t="str">
        <x:v>Precio sugerido no visible completo</x:v>
      </x:c>
    </x:row>
    <x:row r="67" ht="15" hidden="0" customHeight="1">
      <x:c r="A67" t="n">
        <x:v>66</x:v>
      </x:c>
      <x:c r="B67" s="18" t="str">
        <x:v>Plancha Keratin Y Aceite De Argan</x:v>
      </x:c>
      <x:c r="C67" s="18" t="str">
        <x:v>Belleza</x:v>
      </x:c>
      <x:c r="D67" s="18" t="str">
        <x:v>OH HOMIE</x:v>
      </x:c>
      <x:c r="E67" s="18" t="n">
        <x:v>268</x:v>
      </x:c>
      <x:c r="F67" s="28" t="n">
        <x:v>56250</x:v>
      </x:c>
      <x:c r="G67" s="28" t="n">
        <x:v>78000</x:v>
      </x:c>
      <x:c r="H67" s="28" t="n">
        <x:f>IF(OR(F67="",G67=""),"",G67-F67)</x:f>
        <x:v>21750</x:v>
      </x:c>
      <x:c r="I67" s="30" t="n">
        <x:f>IF(OR(F67="",G67="",G67=0),"",(G67-F67)/G67)</x:f>
        <x:v>0.27884615384615385</x:v>
      </x:c>
      <x:c r="J67" s="18" t="str">
        <x:v>Activo</x:v>
      </x:c>
      <x:c r="K67" s="18" t="str">
        <x:v>Exclusivo</x:v>
      </x:c>
      <x:c r="L67" s="18" t="str">
        <x:v>Bogotá</x:v>
      </x:c>
      <x:c r="M67" s="18" t="str">
        <x:v>Feed visible</x:v>
      </x:c>
      <x:c r="N67" s="18" t="str"/>
    </x:row>
    <x:row r="68" ht="15" hidden="0" customHeight="1">
      <x:c r="A68" t="n">
        <x:v>67</x:v>
      </x:c>
      <x:c r="B68" s="18" t="str">
        <x:v>Depiladora Electrica Recargable 4 En 1</x:v>
      </x:c>
      <x:c r="C68" s="18" t="str">
        <x:v>Belleza</x:v>
      </x:c>
      <x:c r="D68" s="18" t="str">
        <x:v>OH HOMIE</x:v>
      </x:c>
      <x:c r="E68" s="18" t="n">
        <x:v>300</x:v>
      </x:c>
      <x:c r="F68" s="28" t="n">
        <x:v>30000</x:v>
      </x:c>
      <x:c r="G68" s="28" t="n">
        <x:v>45000</x:v>
      </x:c>
      <x:c r="H68" s="28" t="n">
        <x:f>IF(OR(F68="",G68=""),"",G68-F68)</x:f>
        <x:v>15000</x:v>
      </x:c>
      <x:c r="I68" s="30" t="n">
        <x:f>IF(OR(F68="",G68="",G68=0),"",(G68-F68)/G68)</x:f>
        <x:v>0.3333333333333333</x:v>
      </x:c>
      <x:c r="J68" s="18" t="str">
        <x:v>Activo</x:v>
      </x:c>
      <x:c r="K68" s="18" t="str">
        <x:v>Exclusivo</x:v>
      </x:c>
      <x:c r="L68" s="18" t="str">
        <x:v>Bogotá</x:v>
      </x:c>
      <x:c r="M68" s="18" t="str">
        <x:v>Feed visible</x:v>
      </x:c>
      <x:c r="N68" s="18" t="str"/>
    </x:row>
    <x:row r="69" ht="15" hidden="0" customHeight="1">
      <x:c r="A69" t="n">
        <x:v>68</x:v>
      </x:c>
      <x:c r="B69" s="18" t="str">
        <x:v>Maquina De Ejercicios Multifuncional</x:v>
      </x:c>
      <x:c r="C69" s="18" t="str">
        <x:v>Deportes</x:v>
      </x:c>
      <x:c r="D69" s="18" t="str">
        <x:v>OH HOMIE</x:v>
      </x:c>
      <x:c r="E69" s="18" t="n">
        <x:v>298</x:v>
      </x:c>
      <x:c r="F69" s="28" t="n">
        <x:v>112500</x:v>
      </x:c>
      <x:c r="G69" s="28" t="n">
        <x:v>130000</x:v>
      </x:c>
      <x:c r="H69" s="28" t="n">
        <x:f>IF(OR(F69="",G69=""),"",G69-F69)</x:f>
        <x:v>17500</x:v>
      </x:c>
      <x:c r="I69" s="30" t="n">
        <x:f>IF(OR(F69="",G69="",G69=0),"",(G69-F69)/G69)</x:f>
        <x:v>0.1346153846153846</x:v>
      </x:c>
      <x:c r="J69" s="18" t="str">
        <x:v>Activo</x:v>
      </x:c>
      <x:c r="K69" s="18" t="str">
        <x:v>Exclusivo</x:v>
      </x:c>
      <x:c r="L69" s="18" t="str">
        <x:v>Bogotá</x:v>
      </x:c>
      <x:c r="M69" s="18" t="str">
        <x:v>Feed visible</x:v>
      </x:c>
      <x:c r="N69" s="18" t="str"/>
    </x:row>
    <x:row r="70" ht="15" hidden="0" customHeight="1">
      <x:c r="A70" t="n">
        <x:v>69</x:v>
      </x:c>
      <x:c r="B70" s="18" t="str">
        <x:v>Combo Fajamasajeadorparche</x:v>
      </x:c>
      <x:c r="C70" s="18" t="str">
        <x:v>Belleza</x:v>
      </x:c>
      <x:c r="D70" s="18" t="str">
        <x:v>OH HOMIE</x:v>
      </x:c>
      <x:c r="E70" s="18" t="n">
        <x:v>384</x:v>
      </x:c>
      <x:c r="F70" s="28" t="n">
        <x:v>29000</x:v>
      </x:c>
      <x:c r="G70" s="28" t="n">
        <x:v>60000</x:v>
      </x:c>
      <x:c r="H70" s="28" t="n">
        <x:f>IF(OR(F70="",G70=""),"",G70-F70)</x:f>
        <x:v>31000</x:v>
      </x:c>
      <x:c r="I70" s="30" t="n">
        <x:f>IF(OR(F70="",G70="",G70=0),"",(G70-F70)/G70)</x:f>
        <x:v>0.5166666666666667</x:v>
      </x:c>
      <x:c r="J70" s="18" t="str">
        <x:v>Activo</x:v>
      </x:c>
      <x:c r="K70" s="18" t="str">
        <x:v>Exclusivo / Variable</x:v>
      </x:c>
      <x:c r="L70" s="18" t="str">
        <x:v>Bogotá</x:v>
      </x:c>
      <x:c r="M70" s="18" t="str">
        <x:v>Feed visible</x:v>
      </x:c>
      <x:c r="N70" s="18" t="str"/>
    </x:row>
    <x:row r="71" ht="15" hidden="0" customHeight="1">
      <x:c r="A71" t="n">
        <x:v>70</x:v>
      </x:c>
      <x:c r="B71" s="18" t="str">
        <x:v>Cargador De Mascotas Para Silla De Carro</x:v>
      </x:c>
      <x:c r="C71" s="18" t="str">
        <x:v>Mascotas</x:v>
      </x:c>
      <x:c r="D71" s="18" t="str">
        <x:v>OH HOMIE</x:v>
      </x:c>
      <x:c r="E71" s="18" t="n">
        <x:v>501</x:v>
      </x:c>
      <x:c r="F71" s="28" t="n">
        <x:v>20000</x:v>
      </x:c>
      <x:c r="G71" s="28" t="n">
        <x:v>28000</x:v>
      </x:c>
      <x:c r="H71" s="28" t="n">
        <x:f>IF(OR(F71="",G71=""),"",G71-F71)</x:f>
        <x:v>8000</x:v>
      </x:c>
      <x:c r="I71" s="30" t="n">
        <x:f>IF(OR(F71="",G71="",G71=0),"",(G71-F71)/G71)</x:f>
        <x:v>0.2857142857142857</x:v>
      </x:c>
      <x:c r="J71" s="18" t="str">
        <x:v>Activo</x:v>
      </x:c>
      <x:c r="K71" s="18" t="str">
        <x:v>Exclusivo</x:v>
      </x:c>
      <x:c r="L71" s="18" t="str">
        <x:v>Bogotá</x:v>
      </x:c>
      <x:c r="M71" s="18" t="str">
        <x:v>Feed visible</x:v>
      </x:c>
      <x:c r="N71" s="18" t="str"/>
    </x:row>
    <x:row r="72" ht="15" hidden="0" customHeight="1">
      <x:c r="A72" t="n">
        <x:v>71</x:v>
      </x:c>
      <x:c r="B72" s="18" t="str">
        <x:v>Interruptor Inteligente</x:v>
      </x:c>
      <x:c r="C72" s="18" t="str">
        <x:v>Otro</x:v>
      </x:c>
      <x:c r="D72" s="18" t="str">
        <x:v>OH HOMIE</x:v>
      </x:c>
      <x:c r="E72" s="18" t="n">
        <x:v>30</x:v>
      </x:c>
      <x:c r="F72" s="28" t="n">
        <x:v>43750</x:v>
      </x:c>
      <x:c r="G72" s="28" t="n">
        <x:v>63000</x:v>
      </x:c>
      <x:c r="H72" s="28" t="n">
        <x:f>IF(OR(F72="",G72=""),"",G72-F72)</x:f>
        <x:v>19250</x:v>
      </x:c>
      <x:c r="I72" s="30" t="n">
        <x:f>IF(OR(F72="",G72="",G72=0),"",(G72-F72)/G72)</x:f>
        <x:v>0.3055555555555556</x:v>
      </x:c>
      <x:c r="J72" s="18" t="str">
        <x:v>Activo</x:v>
      </x:c>
      <x:c r="K72" s="18" t="str">
        <x:v>Exclusivo</x:v>
      </x:c>
      <x:c r="L72" s="18" t="str">
        <x:v>Bogotá</x:v>
      </x:c>
      <x:c r="M72" s="18" t="str">
        <x:v>Feed visible</x:v>
      </x:c>
      <x:c r="N72" s="18" t="str"/>
    </x:row>
    <x:row r="73" ht="15" hidden="0" customHeight="1">
      <x:c r="A73" t="n">
        <x:v>72</x:v>
      </x:c>
      <x:c r="B73" s="18" t="str">
        <x:v>Camara Kids Con Impresora M2</x:v>
      </x:c>
      <x:c r="C73" s="18" t="str">
        <x:v>Tecnología</x:v>
      </x:c>
      <x:c r="D73" s="18" t="str">
        <x:v>OH HOMIE</x:v>
      </x:c>
      <x:c r="E73" s="18" t="n">
        <x:v>300</x:v>
      </x:c>
      <x:c r="F73" s="28" t="n">
        <x:v>105000</x:v>
      </x:c>
      <x:c r="G73" s="28" t="n">
        <x:v>140000</x:v>
      </x:c>
      <x:c r="H73" s="28" t="n">
        <x:f>IF(OR(F73="",G73=""),"",G73-F73)</x:f>
        <x:v>35000</x:v>
      </x:c>
      <x:c r="I73" s="30" t="n">
        <x:f>IF(OR(F73="",G73="",G73=0),"",(G73-F73)/G73)</x:f>
        <x:v>0.25</x:v>
      </x:c>
      <x:c r="J73" s="18" t="str">
        <x:v>Activo</x:v>
      </x:c>
      <x:c r="K73" s="18" t="str">
        <x:v>Exclusivo</x:v>
      </x:c>
      <x:c r="L73" s="18" t="str">
        <x:v>Bogotá</x:v>
      </x:c>
      <x:c r="M73" s="18" t="str">
        <x:v>Feed visible</x:v>
      </x:c>
      <x:c r="N73" s="18" t="str"/>
    </x:row>
    <x:row r="74" ht="15" hidden="0" customHeight="1">
      <x:c r="A74" t="n">
        <x:v>73</x:v>
      </x:c>
      <x:c r="B74" s="18" t="str">
        <x:v>Cubre Sofa 1 Puesto</x:v>
      </x:c>
      <x:c r="C74" s="18" t="str">
        <x:v>Mascotas</x:v>
      </x:c>
      <x:c r="D74" s="18" t="str">
        <x:v>OH HOMIE</x:v>
      </x:c>
      <x:c r="E74" s="18" t="n">
        <x:v>2</x:v>
      </x:c>
      <x:c r="F74" s="28" t="n">
        <x:v>18000</x:v>
      </x:c>
      <x:c r="G74" s="28" t="n">
        <x:v>28000</x:v>
      </x:c>
      <x:c r="H74" s="28" t="n">
        <x:f>IF(OR(F74="",G74=""),"",G74-F74)</x:f>
        <x:v>10000</x:v>
      </x:c>
      <x:c r="I74" s="30" t="n">
        <x:f>IF(OR(F74="",G74="",G74=0),"",(G74-F74)/G74)</x:f>
        <x:v>0.35714285714285715</x:v>
      </x:c>
      <x:c r="J74" s="18" t="str">
        <x:v>Activo</x:v>
      </x:c>
      <x:c r="K74" s="18" t="str">
        <x:v>Exclusivo</x:v>
      </x:c>
      <x:c r="L74" s="18" t="str">
        <x:v>Bogotá</x:v>
      </x:c>
      <x:c r="M74" s="18" t="str">
        <x:v>Feed visible</x:v>
      </x:c>
      <x:c r="N74" s="18" t="str"/>
    </x:row>
    <x:row r="75" ht="15" hidden="0" customHeight="1">
      <x:c r="A75" t="n">
        <x:v>74</x:v>
      </x:c>
      <x:c r="B75" s="18" t="str">
        <x:v>Portabebes Ergonomico</x:v>
      </x:c>
      <x:c r="C75" s="18" t="str">
        <x:v>Bebé</x:v>
      </x:c>
      <x:c r="D75" s="18" t="str">
        <x:v>OH HOMIE</x:v>
      </x:c>
      <x:c r="E75" s="18" t="n">
        <x:v>150</x:v>
      </x:c>
      <x:c r="F75" s="28" t="n">
        <x:v>75000</x:v>
      </x:c>
      <x:c r="G75" s="28" t="n">
        <x:v>90000</x:v>
      </x:c>
      <x:c r="H75" s="28" t="n">
        <x:f>IF(OR(F75="",G75=""),"",G75-F75)</x:f>
        <x:v>15000</x:v>
      </x:c>
      <x:c r="I75" s="30" t="n">
        <x:f>IF(OR(F75="",G75="",G75=0),"",(G75-F75)/G75)</x:f>
        <x:v>0.16666666666666666</x:v>
      </x:c>
      <x:c r="J75" s="18" t="str">
        <x:v>Activo</x:v>
      </x:c>
      <x:c r="K75" s="18" t="str">
        <x:v>Exclusivo</x:v>
      </x:c>
      <x:c r="L75" s="18" t="str">
        <x:v>Bogotá</x:v>
      </x:c>
      <x:c r="M75" s="18" t="str">
        <x:v>Feed visible</x:v>
      </x:c>
      <x:c r="N75" s="18" t="str"/>
    </x:row>
    <x:row r="76" ht="15" hidden="0" customHeight="1">
      <x:c r="A76" t="n">
        <x:v>75</x:v>
      </x:c>
      <x:c r="B76" s="18" t="str">
        <x:v>Conjunto 10 Piezas Cortador Cocina</x:v>
      </x:c>
      <x:c r="C76" s="18" t="str">
        <x:v>Cocina</x:v>
      </x:c>
      <x:c r="D76" s="18" t="str">
        <x:v>OH HOMIE</x:v>
      </x:c>
      <x:c r="E76" s="18" t="n">
        <x:v>148</x:v>
      </x:c>
      <x:c r="F76" s="28" t="n">
        <x:v>29000</x:v>
      </x:c>
      <x:c r="G76" s="28" t="n">
        <x:v>53000</x:v>
      </x:c>
      <x:c r="H76" s="28" t="n">
        <x:f>IF(OR(F76="",G76=""),"",G76-F76)</x:f>
        <x:v>24000</x:v>
      </x:c>
      <x:c r="I76" s="30" t="n">
        <x:f>IF(OR(F76="",G76="",G76=0),"",(G76-F76)/G76)</x:f>
        <x:v>0.4528301886792453</x:v>
      </x:c>
      <x:c r="J76" s="18" t="str">
        <x:v>Activo</x:v>
      </x:c>
      <x:c r="K76" s="18" t="str">
        <x:v>Exclusivo</x:v>
      </x:c>
      <x:c r="L76" s="18" t="str">
        <x:v>Bogotá</x:v>
      </x:c>
      <x:c r="M76" s="18" t="str">
        <x:v>Feed visible</x:v>
      </x:c>
      <x:c r="N76" s="18" t="str"/>
    </x:row>
    <x:row r="77" ht="15" hidden="0" customHeight="1">
      <x:c r="A77" t="n">
        <x:v>76</x:v>
      </x:c>
      <x:c r="B77" s="18" t="str">
        <x:v>Bolso Grande Expandible Deportivo Viaje</x:v>
      </x:c>
      <x:c r="C77" s="18" t="str">
        <x:v>Ropa Deportiva</x:v>
      </x:c>
      <x:c r="D77" s="18" t="str">
        <x:v>OH HOMIE</x:v>
      </x:c>
      <x:c r="E77" s="18" t="n">
        <x:v>180</x:v>
      </x:c>
      <x:c r="F77" s="28" t="n">
        <x:v>23000</x:v>
      </x:c>
      <x:c r="G77" s="28"/>
      <x:c r="H77" s="28" t="str">
        <x:f>IF(OR(F77="",G77=""),"",G77-F77)</x:f>
      </x:c>
      <x:c r="I77" s="30" t="str">
        <x:f>IF(OR(F77="",G77="",G77=0),"",(G77-F77)/G77)</x:f>
      </x:c>
      <x:c r="J77" s="18" t="str">
        <x:v>Activo</x:v>
      </x:c>
      <x:c r="K77" s="18" t="str">
        <x:v>Exclusivo / Variable</x:v>
      </x:c>
      <x:c r="L77" s="18" t="str">
        <x:v>Bogotá</x:v>
      </x:c>
      <x:c r="M77" s="18" t="str">
        <x:v>Feed visible</x:v>
      </x:c>
      <x:c r="N77" s="18" t="str">
        <x:v>Precio sugerido no visible completo</x:v>
      </x:c>
    </x:row>
    <x:row r="78" ht="15" hidden="0" customHeight="1">
      <x:c r="A78" t="n">
        <x:v>77</x:v>
      </x:c>
      <x:c r="B78" s="18" t="str">
        <x:v>Lampara Led Angel</x:v>
      </x:c>
      <x:c r="C78" s="18" t="str">
        <x:v>Hogar</x:v>
      </x:c>
      <x:c r="D78" s="18" t="str">
        <x:v>OH HOMIE</x:v>
      </x:c>
      <x:c r="E78" s="18" t="n">
        <x:v>300</x:v>
      </x:c>
      <x:c r="F78" s="28" t="n">
        <x:v>43750</x:v>
      </x:c>
      <x:c r="G78" s="28" t="n">
        <x:v>63000</x:v>
      </x:c>
      <x:c r="H78" s="28" t="n">
        <x:f>IF(OR(F78="",G78=""),"",G78-F78)</x:f>
        <x:v>19250</x:v>
      </x:c>
      <x:c r="I78" s="30" t="n">
        <x:f>IF(OR(F78="",G78="",G78=0),"",(G78-F78)/G78)</x:f>
        <x:v>0.3055555555555556</x:v>
      </x:c>
      <x:c r="J78" s="18" t="str">
        <x:v>Activo</x:v>
      </x:c>
      <x:c r="K78" s="18" t="str">
        <x:v>Exclusivo</x:v>
      </x:c>
      <x:c r="L78" s="18" t="str">
        <x:v>Bogotá</x:v>
      </x:c>
      <x:c r="M78" s="18" t="str">
        <x:v>Feed visible</x:v>
      </x:c>
      <x:c r="N78" s="18" t="str"/>
    </x:row>
    <x:row r="79" ht="15" hidden="0" customHeight="1">
      <x:c r="A79" t="n">
        <x:v>78</x:v>
      </x:c>
      <x:c r="B79" s="18" t="str">
        <x:v>Audifonos Amplificador De Sonido</x:v>
      </x:c>
      <x:c r="C79" s="18" t="str">
        <x:v>Salud</x:v>
      </x:c>
      <x:c r="D79" s="18" t="str">
        <x:v>OH HOMIE</x:v>
      </x:c>
      <x:c r="E79" s="18" t="n">
        <x:v>337</x:v>
      </x:c>
      <x:c r="F79" s="28" t="n">
        <x:v>11000</x:v>
      </x:c>
      <x:c r="G79" s="28" t="n">
        <x:v>25000</x:v>
      </x:c>
      <x:c r="H79" s="28" t="n">
        <x:f>IF(OR(F79="",G79=""),"",G79-F79)</x:f>
        <x:v>14000</x:v>
      </x:c>
      <x:c r="I79" s="30" t="n">
        <x:f>IF(OR(F79="",G79="",G79=0),"",(G79-F79)/G79)</x:f>
        <x:v>0.56</x:v>
      </x:c>
      <x:c r="J79" s="18" t="str">
        <x:v>Activo</x:v>
      </x:c>
      <x:c r="K79" s="18" t="str">
        <x:v>Exclusivo</x:v>
      </x:c>
      <x:c r="L79" s="18" t="str">
        <x:v>Bogotá</x:v>
      </x:c>
      <x:c r="M79" s="18" t="str">
        <x:v>Feed visible</x:v>
      </x:c>
      <x:c r="N79" s="18" t="str"/>
    </x:row>
    <x:row r="80" ht="15" hidden="0" customHeight="1">
      <x:c r="A80" t="n">
        <x:v>79</x:v>
      </x:c>
      <x:c r="B80" s="18" t="str">
        <x:v>Pistola De Burbujas Electrica Kb112</x:v>
      </x:c>
      <x:c r="C80" s="18" t="str">
        <x:v>Juguetería</x:v>
      </x:c>
      <x:c r="D80" s="18" t="str">
        <x:v>OH HOMIE</x:v>
      </x:c>
      <x:c r="E80" s="18" t="n">
        <x:v>8</x:v>
      </x:c>
      <x:c r="F80" s="28" t="n">
        <x:v>23000</x:v>
      </x:c>
      <x:c r="G80" s="28" t="n">
        <x:v>45000</x:v>
      </x:c>
      <x:c r="H80" s="28" t="n">
        <x:f>IF(OR(F80="",G80=""),"",G80-F80)</x:f>
        <x:v>22000</x:v>
      </x:c>
      <x:c r="I80" s="30" t="n">
        <x:f>IF(OR(F80="",G80="",G80=0),"",(G80-F80)/G80)</x:f>
        <x:v>0.4888888888888889</x:v>
      </x:c>
      <x:c r="J80" s="18" t="str">
        <x:v>Activo</x:v>
      </x:c>
      <x:c r="K80" s="18" t="str">
        <x:v>Exclusivo</x:v>
      </x:c>
      <x:c r="L80" s="18" t="str">
        <x:v>Bogotá</x:v>
      </x:c>
      <x:c r="M80" s="18" t="str">
        <x:v>Feed visible</x:v>
      </x:c>
      <x:c r="N80" s="18" t="str"/>
    </x:row>
    <x:row r="81" ht="15" hidden="0" customHeight="1">
      <x:c r="A81" t="n">
        <x:v>80</x:v>
      </x:c>
      <x:c r="B81" s="18" t="str">
        <x:v>Organizador De Bano Estante De Bano</x:v>
      </x:c>
      <x:c r="C81" s="18" t="str">
        <x:v>Hogar</x:v>
      </x:c>
      <x:c r="D81" s="18" t="str">
        <x:v>OH HOMIE</x:v>
      </x:c>
      <x:c r="E81" s="18" t="n">
        <x:v>18</x:v>
      </x:c>
      <x:c r="F81" s="28" t="n">
        <x:v>42700</x:v>
      </x:c>
      <x:c r="G81" s="28" t="n">
        <x:v>65000</x:v>
      </x:c>
      <x:c r="H81" s="28" t="n">
        <x:f>IF(OR(F81="",G81=""),"",G81-F81)</x:f>
        <x:v>22300</x:v>
      </x:c>
      <x:c r="I81" s="30" t="n">
        <x:f>IF(OR(F81="",G81="",G81=0),"",(G81-F81)/G81)</x:f>
        <x:v>0.34307692307692306</x:v>
      </x:c>
      <x:c r="J81" s="18" t="str">
        <x:v>Activo</x:v>
      </x:c>
      <x:c r="K81" s="18" t="str">
        <x:v>Exclusivo</x:v>
      </x:c>
      <x:c r="L81" s="18" t="str">
        <x:v>Bogotá</x:v>
      </x:c>
      <x:c r="M81" s="18" t="str">
        <x:v>Feed visible</x:v>
      </x:c>
      <x:c r="N81" s="18" t="str"/>
    </x:row>
    <x:row r="82" ht="15" hidden="0" customHeight="1">
      <x:c r="A82" t="n">
        <x:v>81</x:v>
      </x:c>
      <x:c r="B82" s="18" t="str">
        <x:v>Maquina De Hacer Pasta</x:v>
      </x:c>
      <x:c r="C82" s="18" t="str">
        <x:v>Cocina</x:v>
      </x:c>
      <x:c r="D82" s="18" t="str">
        <x:v>OH HOMIE</x:v>
      </x:c>
      <x:c r="E82" s="18" t="n">
        <x:v>251</x:v>
      </x:c>
      <x:c r="F82" s="28" t="n">
        <x:v>147500</x:v>
      </x:c>
      <x:c r="G82" s="28" t="n">
        <x:v>187000</x:v>
      </x:c>
      <x:c r="H82" s="28" t="n">
        <x:f>IF(OR(F82="",G82=""),"",G82-F82)</x:f>
        <x:v>39500</x:v>
      </x:c>
      <x:c r="I82" s="30" t="n">
        <x:f>IF(OR(F82="",G82="",G82=0),"",(G82-F82)/G82)</x:f>
        <x:v>0.21122994652406418</x:v>
      </x:c>
      <x:c r="J82" s="18" t="str">
        <x:v>Activo</x:v>
      </x:c>
      <x:c r="K82" s="18" t="str">
        <x:v>Exclusivo</x:v>
      </x:c>
      <x:c r="L82" s="18" t="str">
        <x:v>Bogotá</x:v>
      </x:c>
      <x:c r="M82" s="18" t="str">
        <x:v>Feed visible</x:v>
      </x:c>
      <x:c r="N82" s="18" t="str"/>
    </x:row>
    <x:row r="83" ht="15" hidden="0" customHeight="1">
      <x:c r="A83" t="n">
        <x:v>82</x:v>
      </x:c>
      <x:c r="B83" s="18" t="str">
        <x:v>Combo Estuche Para Viajes Kit Envases</x:v>
      </x:c>
      <x:c r="C83" s="18" t="str">
        <x:v>Hogar</x:v>
      </x:c>
      <x:c r="D83" s="18" t="str">
        <x:v>OH HOMIE</x:v>
      </x:c>
      <x:c r="E83" s="18" t="n">
        <x:v>70</x:v>
      </x:c>
      <x:c r="F83" s="28" t="n">
        <x:v>17000</x:v>
      </x:c>
      <x:c r="G83" s="28" t="n">
        <x:v>28000</x:v>
      </x:c>
      <x:c r="H83" s="28" t="n">
        <x:f>IF(OR(F83="",G83=""),"",G83-F83)</x:f>
        <x:v>11000</x:v>
      </x:c>
      <x:c r="I83" s="30" t="n">
        <x:f>IF(OR(F83="",G83="",G83=0),"",(G83-F83)/G83)</x:f>
        <x:v>0.39285714285714285</x:v>
      </x:c>
      <x:c r="J83" s="18" t="str">
        <x:v>Activo</x:v>
      </x:c>
      <x:c r="K83" s="18" t="str">
        <x:v>Exclusivo</x:v>
      </x:c>
      <x:c r="L83" s="18" t="str">
        <x:v>Bogotá</x:v>
      </x:c>
      <x:c r="M83" s="18" t="str">
        <x:v>Feed visible</x:v>
      </x:c>
      <x:c r="N83" s="18" t="str"/>
    </x:row>
    <x:row r="84" ht="15" hidden="0" customHeight="1">
      <x:c r="A84" t="n">
        <x:v>83</x:v>
      </x:c>
      <x:c r="B84" s="18" t="str">
        <x:v>Tendedero 2 Niveles</x:v>
      </x:c>
      <x:c r="C84" s="18" t="str">
        <x:v>Hogar</x:v>
      </x:c>
      <x:c r="D84" s="18" t="str">
        <x:v>OH HOMIE</x:v>
      </x:c>
      <x:c r="E84" s="18" t="n">
        <x:v>100</x:v>
      </x:c>
      <x:c r="F84" s="28" t="n">
        <x:v>43000</x:v>
      </x:c>
      <x:c r="G84" s="28" t="n">
        <x:v>60000</x:v>
      </x:c>
      <x:c r="H84" s="28" t="n">
        <x:f>IF(OR(F84="",G84=""),"",G84-F84)</x:f>
        <x:v>17000</x:v>
      </x:c>
      <x:c r="I84" s="30" t="n">
        <x:f>IF(OR(F84="",G84="",G84=0),"",(G84-F84)/G84)</x:f>
        <x:v>0.2833333333333333</x:v>
      </x:c>
      <x:c r="J84" s="18" t="str">
        <x:v>Activo</x:v>
      </x:c>
      <x:c r="K84" s="18" t="str">
        <x:v>Exclusivo</x:v>
      </x:c>
      <x:c r="L84" s="18" t="str">
        <x:v>Bogotá</x:v>
      </x:c>
      <x:c r="M84" s="18" t="str">
        <x:v>Feed visible</x:v>
      </x:c>
      <x:c r="N84" s="18" t="str"/>
    </x:row>
    <x:row r="85" ht="15" hidden="0" customHeight="1">
      <x:c r="A85" t="n">
        <x:v>84</x:v>
      </x:c>
      <x:c r="B85" s="18" t="str">
        <x:v>Control Remoto Multifuncional</x:v>
      </x:c>
      <x:c r="C85" s="18" t="str">
        <x:v>Tecnología</x:v>
      </x:c>
      <x:c r="D85" s="18" t="str">
        <x:v>OH HOMIE</x:v>
      </x:c>
      <x:c r="E85" s="18" t="n">
        <x:v>296</x:v>
      </x:c>
      <x:c r="F85" s="28" t="n">
        <x:v>20000</x:v>
      </x:c>
      <x:c r="G85" s="28" t="n">
        <x:v>40000</x:v>
      </x:c>
      <x:c r="H85" s="28" t="n">
        <x:f>IF(OR(F85="",G85=""),"",G85-F85)</x:f>
        <x:v>20000</x:v>
      </x:c>
      <x:c r="I85" s="30" t="n">
        <x:f>IF(OR(F85="",G85="",G85=0),"",(G85-F85)/G85)</x:f>
        <x:v>0.5</x:v>
      </x:c>
      <x:c r="J85" s="18" t="str">
        <x:v>Activo</x:v>
      </x:c>
      <x:c r="K85" s="18" t="str">
        <x:v>Exclusivo</x:v>
      </x:c>
      <x:c r="L85" s="18" t="str">
        <x:v>Bogotá</x:v>
      </x:c>
      <x:c r="M85" s="18" t="str">
        <x:v>Feed visible</x:v>
      </x:c>
      <x:c r="N85" s="18" t="str"/>
    </x:row>
    <x:row r="86" ht="15" hidden="0" customHeight="1">
      <x:c r="A86" t="n">
        <x:v>85</x:v>
      </x:c>
      <x:c r="B86" s="18" t="str">
        <x:v>Kit De Limpieza Electrico Para Biberones</x:v>
      </x:c>
      <x:c r="C86" s="18" t="str">
        <x:v>Bebé</x:v>
      </x:c>
      <x:c r="D86" s="18" t="str">
        <x:v>OH HOMIE</x:v>
      </x:c>
      <x:c r="E86" s="18" t="n">
        <x:v>299</x:v>
      </x:c>
      <x:c r="F86" s="28" t="n">
        <x:v>43750</x:v>
      </x:c>
      <x:c r="G86" s="28" t="n">
        <x:v>58750</x:v>
      </x:c>
      <x:c r="H86" s="28" t="n">
        <x:f>IF(OR(F86="",G86=""),"",G86-F86)</x:f>
        <x:v>15000</x:v>
      </x:c>
      <x:c r="I86" s="30" t="n">
        <x:f>IF(OR(F86="",G86="",G86=0),"",(G86-F86)/G86)</x:f>
        <x:v>0.2553191489361702</x:v>
      </x:c>
      <x:c r="J86" s="18" t="str">
        <x:v>Activo</x:v>
      </x:c>
      <x:c r="K86" s="18" t="str">
        <x:v>Exclusivo</x:v>
      </x:c>
      <x:c r="L86" s="18" t="str">
        <x:v>Bogotá</x:v>
      </x:c>
      <x:c r="M86" s="18" t="str">
        <x:v>Feed visible</x:v>
      </x:c>
      <x:c r="N86" s="18" t="str"/>
    </x:row>
    <x:row r="87" ht="15" hidden="0" customHeight="1">
      <x:c r="A87" t="n">
        <x:v>86</x:v>
      </x:c>
      <x:c r="B87" s="18" t="str">
        <x:v>Saco De Boxeo Cz40</x:v>
      </x:c>
      <x:c r="C87" s="18" t="str">
        <x:v>Deportes</x:v>
      </x:c>
      <x:c r="D87" s="18" t="str">
        <x:v>OH HOMIE</x:v>
      </x:c>
      <x:c r="E87" s="18" t="n">
        <x:v>266</x:v>
      </x:c>
      <x:c r="F87" s="28" t="n">
        <x:v>87000</x:v>
      </x:c>
      <x:c r="G87" s="28" t="n">
        <x:v>100000</x:v>
      </x:c>
      <x:c r="H87" s="28" t="n">
        <x:f>IF(OR(F87="",G87=""),"",G87-F87)</x:f>
        <x:v>13000</x:v>
      </x:c>
      <x:c r="I87" s="30" t="n">
        <x:f>IF(OR(F87="",G87="",G87=0),"",(G87-F87)/G87)</x:f>
        <x:v>0.13</x:v>
      </x:c>
      <x:c r="J87" s="18" t="str">
        <x:v>Activo</x:v>
      </x:c>
      <x:c r="K87" s="18" t="str">
        <x:v>Exclusivo</x:v>
      </x:c>
      <x:c r="L87" s="18" t="str">
        <x:v>Bogotá</x:v>
      </x:c>
      <x:c r="M87" s="18" t="str">
        <x:v>Feed visible</x:v>
      </x:c>
      <x:c r="N87" s="18" t="str"/>
    </x:row>
    <x:row r="88" ht="15" hidden="0" customHeight="1">
      <x:c r="A88" t="n">
        <x:v>87</x:v>
      </x:c>
      <x:c r="B88" s="18" t="str">
        <x:v>Masajeador Cuello X3</x:v>
      </x:c>
      <x:c r="C88" s="18" t="str">
        <x:v>Salud</x:v>
      </x:c>
      <x:c r="D88" s="18" t="str">
        <x:v>OH HOMIE</x:v>
      </x:c>
      <x:c r="E88" s="18" t="n">
        <x:v>662</x:v>
      </x:c>
      <x:c r="F88" s="28" t="n">
        <x:v>21000</x:v>
      </x:c>
      <x:c r="G88" s="28" t="n">
        <x:v>30000</x:v>
      </x:c>
      <x:c r="H88" s="28" t="n">
        <x:f>IF(OR(F88="",G88=""),"",G88-F88)</x:f>
        <x:v>9000</x:v>
      </x:c>
      <x:c r="I88" s="30" t="n">
        <x:f>IF(OR(F88="",G88="",G88=0),"",(G88-F88)/G88)</x:f>
        <x:v>0.3</x:v>
      </x:c>
      <x:c r="J88" s="18" t="str">
        <x:v>Activo</x:v>
      </x:c>
      <x:c r="K88" s="18" t="str">
        <x:v>Exclusivo</x:v>
      </x:c>
      <x:c r="L88" s="18" t="str">
        <x:v>Bogotá</x:v>
      </x:c>
      <x:c r="M88" s="18" t="str">
        <x:v>Feed visible</x:v>
      </x:c>
      <x:c r="N88" s="18" t="str"/>
    </x:row>
    <x:row r="89" ht="15" hidden="0" customHeight="1">
      <x:c r="A89" t="n">
        <x:v>88</x:v>
      </x:c>
      <x:c r="B89" s="18" t="str">
        <x:v>Pistola Hidrogel M16</x:v>
      </x:c>
      <x:c r="C89" s="18" t="str">
        <x:v>Juguetería</x:v>
      </x:c>
      <x:c r="D89" s="18" t="str">
        <x:v>OH HOMIE</x:v>
      </x:c>
      <x:c r="E89" s="18" t="n">
        <x:v>72</x:v>
      </x:c>
      <x:c r="F89" s="28" t="n">
        <x:v>45000</x:v>
      </x:c>
      <x:c r="G89" s="28" t="n">
        <x:v>65000</x:v>
      </x:c>
      <x:c r="H89" s="28" t="n">
        <x:f>IF(OR(F89="",G89=""),"",G89-F89)</x:f>
        <x:v>20000</x:v>
      </x:c>
      <x:c r="I89" s="30" t="n">
        <x:f>IF(OR(F89="",G89="",G89=0),"",(G89-F89)/G89)</x:f>
        <x:v>0.3076923076923077</x:v>
      </x:c>
      <x:c r="J89" s="18" t="str">
        <x:v>Activo</x:v>
      </x:c>
      <x:c r="K89" s="18" t="str">
        <x:v>Exclusivo</x:v>
      </x:c>
      <x:c r="L89" s="18" t="str">
        <x:v>Bogotá</x:v>
      </x:c>
      <x:c r="M89" s="18" t="str">
        <x:v>Feed visible</x:v>
      </x:c>
      <x:c r="N89" s="18" t="str"/>
    </x:row>
    <x:row r="90" ht="15" hidden="0" customHeight="1">
      <x:c r="A90" t="n">
        <x:v>89</x:v>
      </x:c>
      <x:c r="B90" s="18" t="str">
        <x:v>Camping Para 3 Personas Dt44</x:v>
      </x:c>
      <x:c r="C90" s="18" t="str">
        <x:v>Camping</x:v>
      </x:c>
      <x:c r="D90" s="18" t="str">
        <x:v>OH HOMIE</x:v>
      </x:c>
      <x:c r="E90" s="18" t="n">
        <x:v>299</x:v>
      </x:c>
      <x:c r="F90" s="28" t="n">
        <x:v>56250</x:v>
      </x:c>
      <x:c r="G90" s="28" t="n">
        <x:v>90000</x:v>
      </x:c>
      <x:c r="H90" s="28" t="n">
        <x:f>IF(OR(F90="",G90=""),"",G90-F90)</x:f>
        <x:v>33750</x:v>
      </x:c>
      <x:c r="I90" s="30" t="n">
        <x:f>IF(OR(F90="",G90="",G90=0),"",(G90-F90)/G90)</x:f>
        <x:v>0.375</x:v>
      </x:c>
      <x:c r="J90" s="18" t="str">
        <x:v>Activo</x:v>
      </x:c>
      <x:c r="K90" s="18" t="str">
        <x:v>Exclusivo</x:v>
      </x:c>
      <x:c r="L90" s="18" t="str">
        <x:v>Bogotá</x:v>
      </x:c>
      <x:c r="M90" s="18" t="str">
        <x:v>Feed visible</x:v>
      </x:c>
      <x:c r="N90" s="18" t="str"/>
    </x:row>
    <x:row r="91" ht="15" hidden="0" customHeight="1">
      <x:c r="A91" t="n">
        <x:v>90</x:v>
      </x:c>
      <x:c r="B91" s="18" t="str">
        <x:v>Ventilador Para Vehiculo</x:v>
      </x:c>
      <x:c r="C91" s="18" t="str">
        <x:v>Vehículos</x:v>
      </x:c>
      <x:c r="D91" s="18" t="str">
        <x:v>OH HOMIE</x:v>
      </x:c>
      <x:c r="E91" s="18" t="n">
        <x:v>296</x:v>
      </x:c>
      <x:c r="F91" s="28" t="n">
        <x:v>32500</x:v>
      </x:c>
      <x:c r="G91" s="28" t="n">
        <x:v>45000</x:v>
      </x:c>
      <x:c r="H91" s="28" t="n">
        <x:f>IF(OR(F91="",G91=""),"",G91-F91)</x:f>
        <x:v>12500</x:v>
      </x:c>
      <x:c r="I91" s="30" t="n">
        <x:f>IF(OR(F91="",G91="",G91=0),"",(G91-F91)/G91)</x:f>
        <x:v>0.2777777777777778</x:v>
      </x:c>
      <x:c r="J91" s="18" t="str">
        <x:v>Activo</x:v>
      </x:c>
      <x:c r="K91" s="18" t="str">
        <x:v>Exclusivo</x:v>
      </x:c>
      <x:c r="L91" s="18" t="str">
        <x:v>Bogotá</x:v>
      </x:c>
      <x:c r="M91" s="18" t="str">
        <x:v>Feed visible</x:v>
      </x:c>
      <x:c r="N91" s="18" t="str"/>
    </x:row>
    <x:row r="92" ht="15" hidden="0" customHeight="1">
      <x:c r="A92" t="n">
        <x:v>91</x:v>
      </x:c>
      <x:c r="B92" s="18" t="str">
        <x:v>Limpiador A Vapor Portatil</x:v>
      </x:c>
      <x:c r="C92" s="18" t="str">
        <x:v>Hogar</x:v>
      </x:c>
      <x:c r="D92" s="18" t="str">
        <x:v>OH HOMIE</x:v>
      </x:c>
      <x:c r="E92" s="18" t="n">
        <x:v>167</x:v>
      </x:c>
      <x:c r="F92" s="28" t="n">
        <x:v>95000</x:v>
      </x:c>
      <x:c r="G92" s="28" t="n">
        <x:v>100000</x:v>
      </x:c>
      <x:c r="H92" s="28" t="n">
        <x:f>IF(OR(F92="",G92=""),"",G92-F92)</x:f>
        <x:v>5000</x:v>
      </x:c>
      <x:c r="I92" s="30" t="n">
        <x:f>IF(OR(F92="",G92="",G92=0),"",(G92-F92)/G92)</x:f>
        <x:v>0.05</x:v>
      </x:c>
      <x:c r="J92" s="18" t="str">
        <x:v>Activo</x:v>
      </x:c>
      <x:c r="K92" s="18" t="str">
        <x:v>Exclusivo</x:v>
      </x:c>
      <x:c r="L92" s="18" t="str">
        <x:v>Bogotá</x:v>
      </x:c>
      <x:c r="M92" s="18" t="str">
        <x:v>Feed visible</x:v>
      </x:c>
      <x:c r="N92" s="18" t="str"/>
    </x:row>
    <x:row r="93" ht="15" hidden="0" customHeight="1">
      <x:c r="A93" t="n">
        <x:v>92</x:v>
      </x:c>
      <x:c r="B93" s="18" t="str">
        <x:v>Organizador De Cuchillos</x:v>
      </x:c>
      <x:c r="C93" s="18" t="str">
        <x:v>Cocina</x:v>
      </x:c>
      <x:c r="D93" s="18" t="str">
        <x:v>OH HOMIE</x:v>
      </x:c>
      <x:c r="E93" s="18" t="n">
        <x:v>300</x:v>
      </x:c>
      <x:c r="F93" s="28" t="n">
        <x:v>20000</x:v>
      </x:c>
      <x:c r="G93" s="28" t="n">
        <x:v>40000</x:v>
      </x:c>
      <x:c r="H93" s="28" t="n">
        <x:f>IF(OR(F93="",G93=""),"",G93-F93)</x:f>
        <x:v>20000</x:v>
      </x:c>
      <x:c r="I93" s="30" t="n">
        <x:f>IF(OR(F93="",G93="",G93=0),"",(G93-F93)/G93)</x:f>
        <x:v>0.5</x:v>
      </x:c>
      <x:c r="J93" s="18" t="str">
        <x:v>Activo</x:v>
      </x:c>
      <x:c r="K93" s="18" t="str">
        <x:v>Exclusivo</x:v>
      </x:c>
      <x:c r="L93" s="18" t="str">
        <x:v>Bogotá</x:v>
      </x:c>
      <x:c r="M93" s="18" t="str">
        <x:v>Feed visible</x:v>
      </x:c>
      <x:c r="N93" s="18" t="str"/>
    </x:row>
    <x:row r="94" ht="15" hidden="0" customHeight="1">
      <x:c r="A94" t="n">
        <x:v>93</x:v>
      </x:c>
      <x:c r="B94" s="18" t="str">
        <x:v>Pistola Hidrogel Ak47</x:v>
      </x:c>
      <x:c r="C94" s="18" t="str">
        <x:v>Juguetería</x:v>
      </x:c>
      <x:c r="D94" s="18" t="str">
        <x:v>OH HOMIE</x:v>
      </x:c>
      <x:c r="E94" s="18" t="n">
        <x:v>294</x:v>
      </x:c>
      <x:c r="F94" s="28" t="n">
        <x:v>45000</x:v>
      </x:c>
      <x:c r="G94" s="28" t="n">
        <x:v>65000</x:v>
      </x:c>
      <x:c r="H94" s="28" t="n">
        <x:f>IF(OR(F94="",G94=""),"",G94-F94)</x:f>
        <x:v>20000</x:v>
      </x:c>
      <x:c r="I94" s="30" t="n">
        <x:f>IF(OR(F94="",G94="",G94=0),"",(G94-F94)/G94)</x:f>
        <x:v>0.3076923076923077</x:v>
      </x:c>
      <x:c r="J94" s="18" t="str">
        <x:v>Activo</x:v>
      </x:c>
      <x:c r="K94" s="18" t="str">
        <x:v>Exclusivo</x:v>
      </x:c>
      <x:c r="L94" s="18" t="str">
        <x:v>Bogotá</x:v>
      </x:c>
      <x:c r="M94" s="18" t="str">
        <x:v>Feed visible</x:v>
      </x:c>
      <x:c r="N94" s="18" t="str"/>
    </x:row>
    <x:row r="95" ht="15" hidden="0" customHeight="1">
      <x:c r="A95" t="n">
        <x:v>94</x:v>
      </x:c>
      <x:c r="B95" s="18" t="str">
        <x:v>Estante De Zapatos 10 Niveles Eco</x:v>
      </x:c>
      <x:c r="C95" s="18" t="str">
        <x:v>Hogar</x:v>
      </x:c>
      <x:c r="D95" s="18" t="str">
        <x:v>OH HOMIE</x:v>
      </x:c>
      <x:c r="E95" s="18" t="n">
        <x:v>294</x:v>
      </x:c>
      <x:c r="F95" s="28" t="n">
        <x:v>23000</x:v>
      </x:c>
      <x:c r="G95" s="28" t="n">
        <x:v>55000</x:v>
      </x:c>
      <x:c r="H95" s="28" t="n">
        <x:f>IF(OR(F95="",G95=""),"",G95-F95)</x:f>
        <x:v>32000</x:v>
      </x:c>
      <x:c r="I95" s="30" t="n">
        <x:f>IF(OR(F95="",G95="",G95=0),"",(G95-F95)/G95)</x:f>
        <x:v>0.5818181818181818</x:v>
      </x:c>
      <x:c r="J95" s="18" t="str">
        <x:v>Activo</x:v>
      </x:c>
      <x:c r="K95" s="18" t="str">
        <x:v>Exclusivo</x:v>
      </x:c>
      <x:c r="L95" s="18" t="str">
        <x:v>Bogotá</x:v>
      </x:c>
      <x:c r="M95" s="18" t="str">
        <x:v>Feed visible</x:v>
      </x:c>
      <x:c r="N95" s="18" t="str"/>
    </x:row>
    <x:row r="96" ht="15" hidden="0" customHeight="1">
      <x:c r="A96" t="n">
        <x:v>95</x:v>
      </x:c>
      <x:c r="B96" s="18" t="str">
        <x:v>Masajeador Cuello Tapete Electrodos</x:v>
      </x:c>
      <x:c r="C96" s="18" t="str">
        <x:v>Salud</x:v>
      </x:c>
      <x:c r="D96" s="18" t="str">
        <x:v>OH HOMIE</x:v>
      </x:c>
      <x:c r="E96" s="18" t="n">
        <x:v>217</x:v>
      </x:c>
      <x:c r="F96" s="28" t="n">
        <x:v>15300</x:v>
      </x:c>
      <x:c r="G96" s="28" t="n">
        <x:v>28000</x:v>
      </x:c>
      <x:c r="H96" s="28" t="n">
        <x:f>IF(OR(F96="",G96=""),"",G96-F96)</x:f>
        <x:v>12700</x:v>
      </x:c>
      <x:c r="I96" s="30" t="n">
        <x:f>IF(OR(F96="",G96="",G96=0),"",(G96-F96)/G96)</x:f>
        <x:v>0.45357142857142857</x:v>
      </x:c>
      <x:c r="J96" s="18" t="str">
        <x:v>Activo</x:v>
      </x:c>
      <x:c r="K96" s="18" t="str">
        <x:v>Exclusivo</x:v>
      </x:c>
      <x:c r="L96" s="18" t="str">
        <x:v>Bogotá</x:v>
      </x:c>
      <x:c r="M96" s="18" t="str">
        <x:v>Feed visible</x:v>
      </x:c>
      <x:c r="N96" s="18" t="str"/>
    </x:row>
    <x:row r="97" ht="15" hidden="0" customHeight="1">
      <x:c r="A97" t="n">
        <x:v>96</x:v>
      </x:c>
      <x:c r="B97" s="18" t="str">
        <x:v>Ventilador Recargable</x:v>
      </x:c>
      <x:c r="C97" s="18" t="str">
        <x:v>Otro</x:v>
      </x:c>
      <x:c r="D97" s="18" t="str">
        <x:v>OH HOMIE</x:v>
      </x:c>
      <x:c r="E97" s="18" t="n">
        <x:v>100</x:v>
      </x:c>
      <x:c r="F97" s="28" t="n">
        <x:v>23000</x:v>
      </x:c>
      <x:c r="G97" s="28" t="n">
        <x:v>30000</x:v>
      </x:c>
      <x:c r="H97" s="28" t="n">
        <x:f>IF(OR(F97="",G97=""),"",G97-F97)</x:f>
        <x:v>7000</x:v>
      </x:c>
      <x:c r="I97" s="30" t="n">
        <x:f>IF(OR(F97="",G97="",G97=0),"",(G97-F97)/G97)</x:f>
        <x:v>0.23333333333333334</x:v>
      </x:c>
      <x:c r="J97" s="18" t="str">
        <x:v>Activo</x:v>
      </x:c>
      <x:c r="K97" s="18" t="str">
        <x:v>Exclusivo</x:v>
      </x:c>
      <x:c r="L97" s="18" t="str">
        <x:v>Bogotá</x:v>
      </x:c>
      <x:c r="M97" s="18" t="str">
        <x:v>Feed visible</x:v>
      </x:c>
      <x:c r="N97" s="18" t="str"/>
    </x:row>
    <x:row r="98" ht="15" hidden="0" customHeight="1">
      <x:c r="A98" t="n">
        <x:v>97</x:v>
      </x:c>
      <x:c r="B98" s="18" t="str">
        <x:v>Aire Acondicionado Portatil</x:v>
      </x:c>
      <x:c r="C98" s="18" t="str">
        <x:v>Hogar</x:v>
      </x:c>
      <x:c r="D98" s="18" t="str">
        <x:v>OH HOMIE</x:v>
      </x:c>
      <x:c r="E98" s="18" t="n">
        <x:v>31</x:v>
      </x:c>
      <x:c r="F98" s="28" t="n">
        <x:v>60000</x:v>
      </x:c>
      <x:c r="G98" s="28" t="n">
        <x:v>70000</x:v>
      </x:c>
      <x:c r="H98" s="28" t="n">
        <x:f>IF(OR(F98="",G98=""),"",G98-F98)</x:f>
        <x:v>10000</x:v>
      </x:c>
      <x:c r="I98" s="30" t="n">
        <x:f>IF(OR(F98="",G98="",G98=0),"",(G98-F98)/G98)</x:f>
        <x:v>0.14285714285714285</x:v>
      </x:c>
      <x:c r="J98" s="18" t="str">
        <x:v>Activo</x:v>
      </x:c>
      <x:c r="K98" s="18" t="str">
        <x:v>Exclusivo</x:v>
      </x:c>
      <x:c r="L98" s="18" t="str">
        <x:v>Bogotá</x:v>
      </x:c>
      <x:c r="M98" s="18" t="str">
        <x:v>Feed visible</x:v>
      </x:c>
      <x:c r="N98" s="18" t="str"/>
    </x:row>
    <x:row r="99" ht="15" hidden="0" customHeight="1">
      <x:c r="A99" t="n">
        <x:v>98</x:v>
      </x:c>
      <x:c r="B99" s="18" t="str">
        <x:v>Afeitadora 3 En 1</x:v>
      </x:c>
      <x:c r="C99" s="18" t="str">
        <x:v>Belleza</x:v>
      </x:c>
      <x:c r="D99" s="18" t="str">
        <x:v>OH HOMIE</x:v>
      </x:c>
      <x:c r="E99" s="18" t="n">
        <x:v>305</x:v>
      </x:c>
      <x:c r="F99" s="28" t="n">
        <x:v>43000</x:v>
      </x:c>
      <x:c r="G99" s="28" t="n">
        <x:v>67000</x:v>
      </x:c>
      <x:c r="H99" s="28" t="n">
        <x:f>IF(OR(F99="",G99=""),"",G99-F99)</x:f>
        <x:v>24000</x:v>
      </x:c>
      <x:c r="I99" s="30" t="n">
        <x:f>IF(OR(F99="",G99="",G99=0),"",(G99-F99)/G99)</x:f>
        <x:v>0.3582089552238806</x:v>
      </x:c>
      <x:c r="J99" s="18" t="str">
        <x:v>Activo</x:v>
      </x:c>
      <x:c r="K99" s="18" t="str">
        <x:v>Exclusivo</x:v>
      </x:c>
      <x:c r="L99" s="18" t="str">
        <x:v>Bogotá</x:v>
      </x:c>
      <x:c r="M99" s="18" t="str">
        <x:v>Feed visible</x:v>
      </x:c>
      <x:c r="N99" s="18" t="str"/>
    </x:row>
    <x:row r="100" ht="15" hidden="0" customHeight="1">
      <x:c r="A100" t="n">
        <x:v>99</x:v>
      </x:c>
      <x:c r="B100" s="18" t="str">
        <x:v>Estufa Electrica 2 Puestos</x:v>
      </x:c>
      <x:c r="C100" s="18" t="str">
        <x:v>Cocina</x:v>
      </x:c>
      <x:c r="D100" s="18" t="str">
        <x:v>OH HOMIE</x:v>
      </x:c>
      <x:c r="E100" s="18" t="n">
        <x:v>143</x:v>
      </x:c>
      <x:c r="F100" s="28" t="n">
        <x:v>36000</x:v>
      </x:c>
      <x:c r="G100" s="28" t="n">
        <x:v>50000</x:v>
      </x:c>
      <x:c r="H100" s="28" t="n">
        <x:f>IF(OR(F100="",G100=""),"",G100-F100)</x:f>
        <x:v>14000</x:v>
      </x:c>
      <x:c r="I100" s="30" t="n">
        <x:f>IF(OR(F100="",G100="",G100=0),"",(G100-F100)/G100)</x:f>
        <x:v>0.28</x:v>
      </x:c>
      <x:c r="J100" s="18" t="str">
        <x:v>Activo</x:v>
      </x:c>
      <x:c r="K100" s="18" t="str">
        <x:v>Exclusivo</x:v>
      </x:c>
      <x:c r="L100" s="18" t="str">
        <x:v>Bogotá</x:v>
      </x:c>
      <x:c r="M100" s="18" t="str">
        <x:v>Feed visible</x:v>
      </x:c>
      <x:c r="N100" s="18" t="str"/>
    </x:row>
    <x:row r="101" ht="15" hidden="0" customHeight="1">
      <x:c r="A101" t="n">
        <x:v>100</x:v>
      </x:c>
      <x:c r="B101" s="18" t="str">
        <x:v>Intercomunicacion Bluetooth Casco</x:v>
      </x:c>
      <x:c r="C101" s="18" t="str">
        <x:v>Tecnología</x:v>
      </x:c>
      <x:c r="D101" s="18" t="str">
        <x:v>OH HOMIE</x:v>
      </x:c>
      <x:c r="E101" s="18" t="n">
        <x:v>299</x:v>
      </x:c>
      <x:c r="F101" s="28" t="n">
        <x:v>55000</x:v>
      </x:c>
      <x:c r="G101" s="28" t="n">
        <x:v>65000</x:v>
      </x:c>
      <x:c r="H101" s="28" t="n">
        <x:f>IF(OR(F101="",G101=""),"",G101-F101)</x:f>
        <x:v>10000</x:v>
      </x:c>
      <x:c r="I101" s="30" t="n">
        <x:f>IF(OR(F101="",G101="",G101=0),"",(G101-F101)/G101)</x:f>
        <x:v>0.15384615384615385</x:v>
      </x:c>
      <x:c r="J101" s="18" t="str">
        <x:v>Activo</x:v>
      </x:c>
      <x:c r="K101" s="18" t="str">
        <x:v>Exclusivo</x:v>
      </x:c>
      <x:c r="L101" s="18" t="str">
        <x:v>Bogotá</x:v>
      </x:c>
      <x:c r="M101" s="18" t="str">
        <x:v>Feed visible</x:v>
      </x:c>
      <x:c r="N101" s="18" t="str"/>
    </x:row>
    <x:row r="102" ht="15" hidden="0" customHeight="1">
      <x:c r="A102" t="n">
        <x:v>101</x:v>
      </x:c>
      <x:c r="B102" s="18" t="str">
        <x:v>Cepillo Quita Pulgas Mascotas</x:v>
      </x:c>
      <x:c r="C102" s="18" t="str">
        <x:v>Mascotas</x:v>
      </x:c>
      <x:c r="D102" s="18" t="str">
        <x:v>OH HOMIE</x:v>
      </x:c>
      <x:c r="E102" s="18" t="n">
        <x:v>26</x:v>
      </x:c>
      <x:c r="F102" s="28" t="n">
        <x:v>17000</x:v>
      </x:c>
      <x:c r="G102" s="28" t="n">
        <x:v>37000</x:v>
      </x:c>
      <x:c r="H102" s="28" t="n">
        <x:f>IF(OR(F102="",G102=""),"",G102-F102)</x:f>
        <x:v>20000</x:v>
      </x:c>
      <x:c r="I102" s="30" t="n">
        <x:f>IF(OR(F102="",G102="",G102=0),"",(G102-F102)/G102)</x:f>
        <x:v>0.5405405405405406</x:v>
      </x:c>
      <x:c r="J102" s="18" t="str">
        <x:v>Activo</x:v>
      </x:c>
      <x:c r="K102" s="18" t="str">
        <x:v>Exclusivo</x:v>
      </x:c>
      <x:c r="L102" s="18" t="str">
        <x:v>Bogotá</x:v>
      </x:c>
      <x:c r="M102" s="18" t="str">
        <x:v>Feed visible</x:v>
      </x:c>
      <x:c r="N102" s="18" t="str"/>
    </x:row>
    <x:row r="103" ht="15" hidden="0" customHeight="1">
      <x:c r="A103" t="n">
        <x:v>102</x:v>
      </x:c>
      <x:c r="B103" s="18" t="str">
        <x:v>Batidora Inmersion Scarlet Y13</x:v>
      </x:c>
      <x:c r="C103" s="18" t="str">
        <x:v>Cocina</x:v>
      </x:c>
      <x:c r="D103" s="18" t="str">
        <x:v>OH HOMIE</x:v>
      </x:c>
      <x:c r="E103" s="18" t="n">
        <x:v>340</x:v>
      </x:c>
      <x:c r="F103" s="28" t="n">
        <x:v>24000</x:v>
      </x:c>
      <x:c r="G103" s="28" t="n">
        <x:v>35000</x:v>
      </x:c>
      <x:c r="H103" s="28" t="n">
        <x:f>IF(OR(F103="",G103=""),"",G103-F103)</x:f>
        <x:v>11000</x:v>
      </x:c>
      <x:c r="I103" s="30" t="n">
        <x:f>IF(OR(F103="",G103="",G103=0),"",(G103-F103)/G103)</x:f>
        <x:v>0.3142857142857143</x:v>
      </x:c>
      <x:c r="J103" s="18" t="str">
        <x:v>Activo</x:v>
      </x:c>
      <x:c r="K103" s="18" t="str">
        <x:v>Exclusivo</x:v>
      </x:c>
      <x:c r="L103" s="18" t="str">
        <x:v>Bogotá</x:v>
      </x:c>
      <x:c r="M103" s="18" t="str">
        <x:v>Feed visible</x:v>
      </x:c>
      <x:c r="N103" s="18" t="str"/>
    </x:row>
    <x:row r="104" ht="15" hidden="0" customHeight="1">
      <x:c r="A104" t="n">
        <x:v>103</x:v>
      </x:c>
      <x:c r="B104" s="18" t="str">
        <x:v>Licuadora Doble Vaso</x:v>
      </x:c>
      <x:c r="C104" s="18" t="str">
        <x:v>Cocina</x:v>
      </x:c>
      <x:c r="D104" s="18" t="str">
        <x:v>OH HOMIE</x:v>
      </x:c>
      <x:c r="E104" s="18" t="n">
        <x:v>266</x:v>
      </x:c>
      <x:c r="F104" s="28" t="n">
        <x:v>25000</x:v>
      </x:c>
      <x:c r="G104" s="28" t="n">
        <x:v>35000</x:v>
      </x:c>
      <x:c r="H104" s="28" t="n">
        <x:f>IF(OR(F104="",G104=""),"",G104-F104)</x:f>
        <x:v>10000</x:v>
      </x:c>
      <x:c r="I104" s="30" t="n">
        <x:f>IF(OR(F104="",G104="",G104=0),"",(G104-F104)/G104)</x:f>
        <x:v>0.2857142857142857</x:v>
      </x:c>
      <x:c r="J104" s="18" t="str">
        <x:v>Activo</x:v>
      </x:c>
      <x:c r="K104" s="18" t="str">
        <x:v>Exclusivo / Variable</x:v>
      </x:c>
      <x:c r="L104" s="18" t="str">
        <x:v>Bogotá</x:v>
      </x:c>
      <x:c r="M104" s="18" t="str">
        <x:v>Feed visible</x:v>
      </x:c>
      <x:c r="N104" s="18" t="str"/>
    </x:row>
    <x:row r="105" ht="15" hidden="0" customHeight="1">
      <x:c r="A105" t="n">
        <x:v>104</x:v>
      </x:c>
      <x:c r="B105" s="18" t="str">
        <x:v>Cobija Luminosa Magica 160 X 120 Cm</x:v>
      </x:c>
      <x:c r="C105" s="18" t="str">
        <x:v>Hogar</x:v>
      </x:c>
      <x:c r="D105" s="18" t="str">
        <x:v>OH HOMIE</x:v>
      </x:c>
      <x:c r="E105" s="18" t="n">
        <x:v>25</x:v>
      </x:c>
      <x:c r="F105" s="28" t="n">
        <x:v>30000</x:v>
      </x:c>
      <x:c r="G105" s="28" t="n">
        <x:v>86000</x:v>
      </x:c>
      <x:c r="H105" s="28" t="n">
        <x:f>IF(OR(F105="",G105=""),"",G105-F105)</x:f>
        <x:v>56000</x:v>
      </x:c>
      <x:c r="I105" s="30" t="n">
        <x:f>IF(OR(F105="",G105="",G105=0),"",(G105-F105)/G105)</x:f>
        <x:v>0.6511627906976745</x:v>
      </x:c>
      <x:c r="J105" s="18" t="str">
        <x:v>Activo</x:v>
      </x:c>
      <x:c r="K105" s="18" t="str">
        <x:v>Exclusivo / Variable</x:v>
      </x:c>
      <x:c r="L105" s="18" t="str">
        <x:v>Bogotá</x:v>
      </x:c>
      <x:c r="M105" s="18" t="str">
        <x:v>Feed visible</x:v>
      </x:c>
      <x:c r="N105" s="18" t="str"/>
    </x:row>
    <x:row r="106" ht="15" hidden="0" customHeight="1">
      <x:c r="A106" t="n">
        <x:v>105</x:v>
      </x:c>
      <x:c r="B106" s="18" t="str">
        <x:v>Carro Twisted</x:v>
      </x:c>
      <x:c r="C106" s="18" t="str">
        <x:v>Otro</x:v>
      </x:c>
      <x:c r="D106" s="18" t="str">
        <x:v>OH HOMIE</x:v>
      </x:c>
      <x:c r="E106" s="18" t="n">
        <x:v>300</x:v>
      </x:c>
      <x:c r="F106" s="28" t="n">
        <x:v>141250</x:v>
      </x:c>
      <x:c r="G106" s="28" t="n">
        <x:v>161000</x:v>
      </x:c>
      <x:c r="H106" s="28" t="n">
        <x:f>IF(OR(F106="",G106=""),"",G106-F106)</x:f>
        <x:v>19750</x:v>
      </x:c>
      <x:c r="I106" s="30" t="n">
        <x:f>IF(OR(F106="",G106="",G106=0),"",(G106-F106)/G106)</x:f>
        <x:v>0.12267080745341614</x:v>
      </x:c>
      <x:c r="J106" s="18" t="str">
        <x:v>Activo</x:v>
      </x:c>
      <x:c r="K106" s="18" t="str">
        <x:v>Exclusivo</x:v>
      </x:c>
      <x:c r="L106" s="18" t="str">
        <x:v>Bogotá</x:v>
      </x:c>
      <x:c r="M106" s="18" t="str">
        <x:v>Feed visible</x:v>
      </x:c>
      <x:c r="N106" s="18" t="str"/>
    </x:row>
    <x:row r="107" ht="15" hidden="0" customHeight="1">
      <x:c r="A107" t="n">
        <x:v>106</x:v>
      </x:c>
      <x:c r="B107" s="18" t="str">
        <x:v>Lote De Cables Variados En Oferta</x:v>
      </x:c>
      <x:c r="C107" s="18" t="str">
        <x:v>Tecnología</x:v>
      </x:c>
      <x:c r="D107" s="18" t="str">
        <x:v>OH HOMIE</x:v>
      </x:c>
      <x:c r="E107" s="18" t="n">
        <x:v>300</x:v>
      </x:c>
      <x:c r="F107" s="28" t="n">
        <x:v>15000</x:v>
      </x:c>
      <x:c r="G107" s="28" t="n">
        <x:v>30000</x:v>
      </x:c>
      <x:c r="H107" s="28" t="n">
        <x:f>IF(OR(F107="",G107=""),"",G107-F107)</x:f>
        <x:v>15000</x:v>
      </x:c>
      <x:c r="I107" s="30" t="n">
        <x:f>IF(OR(F107="",G107="",G107=0),"",(G107-F107)/G107)</x:f>
        <x:v>0.5</x:v>
      </x:c>
      <x:c r="J107" s="18" t="str">
        <x:v>Activo</x:v>
      </x:c>
      <x:c r="K107" s="18" t="str">
        <x:v>Exclusivo</x:v>
      </x:c>
      <x:c r="L107" s="18" t="str">
        <x:v>Bogotá</x:v>
      </x:c>
      <x:c r="M107" s="18" t="str">
        <x:v>Feed visible</x:v>
      </x:c>
      <x:c r="N107" s="18" t="str"/>
    </x:row>
    <x:row r="108" ht="15" hidden="0" customHeight="1">
      <x:c r="A108" t="n">
        <x:v>107</x:v>
      </x:c>
      <x:c r="B108" s="18" t="str">
        <x:v>Brasier Reafirmante Sin Varilla</x:v>
      </x:c>
      <x:c r="C108" s="18" t="str">
        <x:v>Belleza</x:v>
      </x:c>
      <x:c r="D108" s="18" t="str">
        <x:v>OH HOMIE</x:v>
      </x:c>
      <x:c r="E108" s="18" t="n">
        <x:v>193</x:v>
      </x:c>
      <x:c r="F108" s="28" t="n">
        <x:v>20000</x:v>
      </x:c>
      <x:c r="G108" s="28" t="n">
        <x:v>32000</x:v>
      </x:c>
      <x:c r="H108" s="28" t="n">
        <x:f>IF(OR(F108="",G108=""),"",G108-F108)</x:f>
        <x:v>12000</x:v>
      </x:c>
      <x:c r="I108" s="30" t="n">
        <x:f>IF(OR(F108="",G108="",G108=0),"",(G108-F108)/G108)</x:f>
        <x:v>0.375</x:v>
      </x:c>
      <x:c r="J108" s="18" t="str">
        <x:v>Activo</x:v>
      </x:c>
      <x:c r="K108" s="18" t="str">
        <x:v>Exclusivo / Variable</x:v>
      </x:c>
      <x:c r="L108" s="18" t="str">
        <x:v>Bogotá</x:v>
      </x:c>
      <x:c r="M108" s="18" t="str">
        <x:v>Feed visible</x:v>
      </x:c>
      <x:c r="N108" s="18" t="str"/>
    </x:row>
    <x:row r="109" ht="15" hidden="0" customHeight="1">
      <x:c r="A109" t="n">
        <x:v>108</x:v>
      </x:c>
      <x:c r="B109" s="18" t="str">
        <x:v>Combo Picador 14pz Ritu Ajo Dis Aceite</x:v>
      </x:c>
      <x:c r="C109" s="18" t="str">
        <x:v>Cocina</x:v>
      </x:c>
      <x:c r="D109" s="18" t="str">
        <x:v>OH HOMIE</x:v>
      </x:c>
      <x:c r="E109" s="18" t="n">
        <x:v>98</x:v>
      </x:c>
      <x:c r="F109" s="28" t="n">
        <x:v>41000</x:v>
      </x:c>
      <x:c r="G109" s="28" t="n">
        <x:v>60000</x:v>
      </x:c>
      <x:c r="H109" s="28" t="n">
        <x:f>IF(OR(F109="",G109=""),"",G109-F109)</x:f>
        <x:v>19000</x:v>
      </x:c>
      <x:c r="I109" s="30" t="n">
        <x:f>IF(OR(F109="",G109="",G109=0),"",(G109-F109)/G109)</x:f>
        <x:v>0.31666666666666665</x:v>
      </x:c>
      <x:c r="J109" s="18" t="str">
        <x:v>Activo</x:v>
      </x:c>
      <x:c r="K109" s="18" t="str">
        <x:v>Exclusivo</x:v>
      </x:c>
      <x:c r="L109" s="18" t="str">
        <x:v>Bogotá</x:v>
      </x:c>
      <x:c r="M109" s="18" t="str">
        <x:v>Feed visible</x:v>
      </x:c>
      <x:c r="N109" s="18" t="str"/>
    </x:row>
    <x:row r="110" ht="15" hidden="0" customHeight="1">
      <x:c r="A110" t="n">
        <x:v>109</x:v>
      </x:c>
      <x:c r="B110" s="18" t="str">
        <x:v>Audifonos Bt68</x:v>
      </x:c>
      <x:c r="C110" s="18" t="str">
        <x:v>Tecnología</x:v>
      </x:c>
      <x:c r="D110" s="18" t="str">
        <x:v>OH HOMIE</x:v>
      </x:c>
      <x:c r="E110" s="18" t="n">
        <x:v>300</x:v>
      </x:c>
      <x:c r="F110" s="28" t="n">
        <x:v>45600</x:v>
      </x:c>
      <x:c r="G110" s="28" t="n">
        <x:v>60000</x:v>
      </x:c>
      <x:c r="H110" s="28" t="n">
        <x:f>IF(OR(F110="",G110=""),"",G110-F110)</x:f>
        <x:v>14400</x:v>
      </x:c>
      <x:c r="I110" s="30" t="n">
        <x:f>IF(OR(F110="",G110="",G110=0),"",(G110-F110)/G110)</x:f>
        <x:v>0.24</x:v>
      </x:c>
      <x:c r="J110" s="18" t="str">
        <x:v>Activo</x:v>
      </x:c>
      <x:c r="K110" s="18" t="str">
        <x:v>Exclusivo</x:v>
      </x:c>
      <x:c r="L110" s="18" t="str">
        <x:v>Bogotá</x:v>
      </x:c>
      <x:c r="M110" s="18" t="str">
        <x:v>Feed visible</x:v>
      </x:c>
      <x:c r="N110" s="18" t="str"/>
    </x:row>
    <x:row r="111" ht="15" hidden="0" customHeight="1">
      <x:c r="A111" t="n">
        <x:v>110</x:v>
      </x:c>
      <x:c r="B111" s="18" t="str">
        <x:v>Limpiador Magnetico Para Vidrios</x:v>
      </x:c>
      <x:c r="C111" s="18" t="str">
        <x:v>Hogar</x:v>
      </x:c>
      <x:c r="D111" s="18" t="str">
        <x:v>OH HOMIE</x:v>
      </x:c>
      <x:c r="E111" s="18" t="n">
        <x:v>300</x:v>
      </x:c>
      <x:c r="F111" s="28" t="n">
        <x:v>14000</x:v>
      </x:c>
      <x:c r="G111" s="28" t="n">
        <x:v>25000</x:v>
      </x:c>
      <x:c r="H111" s="28" t="n">
        <x:f>IF(OR(F111="",G111=""),"",G111-F111)</x:f>
        <x:v>11000</x:v>
      </x:c>
      <x:c r="I111" s="30" t="n">
        <x:f>IF(OR(F111="",G111="",G111=0),"",(G111-F111)/G111)</x:f>
        <x:v>0.44</x:v>
      </x:c>
      <x:c r="J111" s="18" t="str">
        <x:v>Activo</x:v>
      </x:c>
      <x:c r="K111" s="18" t="str">
        <x:v>Exclusivo</x:v>
      </x:c>
      <x:c r="L111" s="18" t="str">
        <x:v>Bogotá</x:v>
      </x:c>
      <x:c r="M111" s="18" t="str">
        <x:v>Feed visible</x:v>
      </x:c>
      <x:c r="N111" s="18" t="str"/>
    </x:row>
    <x:row r="112" ht="15" hidden="0" customHeight="1">
      <x:c r="A112" t="n">
        <x:v>111</x:v>
      </x:c>
      <x:c r="B112" s="18" t="str">
        <x:v>Maquina Empacadora Al Vacio</x:v>
      </x:c>
      <x:c r="C112" s="18" t="str">
        <x:v>Cocina</x:v>
      </x:c>
      <x:c r="D112" s="18" t="str">
        <x:v>OH HOMIE</x:v>
      </x:c>
      <x:c r="E112" s="18" t="n">
        <x:v>290</x:v>
      </x:c>
      <x:c r="F112" s="28" t="n">
        <x:v>30000</x:v>
      </x:c>
      <x:c r="G112" s="28" t="n">
        <x:v>59000</x:v>
      </x:c>
      <x:c r="H112" s="28" t="n">
        <x:f>IF(OR(F112="",G112=""),"",G112-F112)</x:f>
        <x:v>29000</x:v>
      </x:c>
      <x:c r="I112" s="30" t="n">
        <x:f>IF(OR(F112="",G112="",G112=0),"",(G112-F112)/G112)</x:f>
        <x:v>0.4915254237288136</x:v>
      </x:c>
      <x:c r="J112" s="18" t="str">
        <x:v>Activo</x:v>
      </x:c>
      <x:c r="K112" s="18" t="str">
        <x:v>Exclusivo</x:v>
      </x:c>
      <x:c r="L112" s="18" t="str">
        <x:v>Bogotá</x:v>
      </x:c>
      <x:c r="M112" s="18" t="str">
        <x:v>Feed visible</x:v>
      </x:c>
      <x:c r="N112" s="18" t="str"/>
    </x:row>
    <x:row r="113" ht="15" hidden="0" customHeight="1">
      <x:c r="A113" t="n">
        <x:v>112</x:v>
      </x:c>
      <x:c r="B113" s="18" t="str">
        <x:v>Soporte Bano Metalico 5 Piezas</x:v>
      </x:c>
      <x:c r="C113" s="18" t="str">
        <x:v>Hogar</x:v>
      </x:c>
      <x:c r="D113" s="18" t="str">
        <x:v>OH HOMIE</x:v>
      </x:c>
      <x:c r="E113" s="18" t="n">
        <x:v>322</x:v>
      </x:c>
      <x:c r="F113" s="28" t="n">
        <x:v>42000</x:v>
      </x:c>
      <x:c r="G113" s="28" t="n">
        <x:v>74000</x:v>
      </x:c>
      <x:c r="H113" s="28" t="n">
        <x:f>IF(OR(F113="",G113=""),"",G113-F113)</x:f>
        <x:v>32000</x:v>
      </x:c>
      <x:c r="I113" s="30" t="n">
        <x:f>IF(OR(F113="",G113="",G113=0),"",(G113-F113)/G113)</x:f>
        <x:v>0.43243243243243246</x:v>
      </x:c>
      <x:c r="J113" s="18" t="str">
        <x:v>Activo</x:v>
      </x:c>
      <x:c r="K113" s="18" t="str">
        <x:v>Exclusivo</x:v>
      </x:c>
      <x:c r="L113" s="18" t="str">
        <x:v>Bogotá</x:v>
      </x:c>
      <x:c r="M113" s="18" t="str">
        <x:v>Feed visible</x:v>
      </x:c>
      <x:c r="N113" s="18" t="str"/>
    </x:row>
    <x:row r="114" ht="15" hidden="0" customHeight="1">
      <x:c r="A114" t="n">
        <x:v>113</x:v>
      </x:c>
      <x:c r="B114" s="18" t="str">
        <x:v>Joyero Organizador Pequeno Multicolor</x:v>
      </x:c>
      <x:c r="C114" s="18" t="str">
        <x:v>Moda</x:v>
      </x:c>
      <x:c r="D114" s="18" t="str">
        <x:v>OH HOMIE</x:v>
      </x:c>
      <x:c r="E114" s="18" t="n">
        <x:v>285</x:v>
      </x:c>
      <x:c r="F114" s="28" t="n">
        <x:v>14000</x:v>
      </x:c>
      <x:c r="G114" s="28" t="n">
        <x:v>40000</x:v>
      </x:c>
      <x:c r="H114" s="28" t="n">
        <x:f>IF(OR(F114="",G114=""),"",G114-F114)</x:f>
        <x:v>26000</x:v>
      </x:c>
      <x:c r="I114" s="30" t="n">
        <x:f>IF(OR(F114="",G114="",G114=0),"",(G114-F114)/G114)</x:f>
        <x:v>0.65</x:v>
      </x:c>
      <x:c r="J114" s="18" t="str">
        <x:v>Activo</x:v>
      </x:c>
      <x:c r="K114" s="18" t="str">
        <x:v>Exclusivo</x:v>
      </x:c>
      <x:c r="L114" s="18" t="str">
        <x:v>Bogotá</x:v>
      </x:c>
      <x:c r="M114" s="18" t="str">
        <x:v>Feed visible</x:v>
      </x:c>
      <x:c r="N114" s="18" t="str"/>
    </x:row>
    <x:row r="115" ht="15" hidden="0" customHeight="1">
      <x:c r="A115" t="n">
        <x:v>114</x:v>
      </x:c>
      <x:c r="B115" s="18" t="str">
        <x:v>Maquina De Coser Portatil</x:v>
      </x:c>
      <x:c r="C115" s="18" t="str">
        <x:v>Hogar</x:v>
      </x:c>
      <x:c r="D115" s="18" t="str">
        <x:v>OH HOMIE</x:v>
      </x:c>
      <x:c r="E115" s="18" t="n">
        <x:v>444</x:v>
      </x:c>
      <x:c r="F115" s="28" t="n">
        <x:v>32300</x:v>
      </x:c>
      <x:c r="G115" s="28" t="n">
        <x:v>52000</x:v>
      </x:c>
      <x:c r="H115" s="28" t="n">
        <x:f>IF(OR(F115="",G115=""),"",G115-F115)</x:f>
        <x:v>19700</x:v>
      </x:c>
      <x:c r="I115" s="30" t="n">
        <x:f>IF(OR(F115="",G115="",G115=0),"",(G115-F115)/G115)</x:f>
        <x:v>0.37884615384615383</x:v>
      </x:c>
      <x:c r="J115" s="18" t="str">
        <x:v>Activo</x:v>
      </x:c>
      <x:c r="K115" s="18" t="str">
        <x:v>Exclusivo</x:v>
      </x:c>
      <x:c r="L115" s="18" t="str">
        <x:v>Bogotá</x:v>
      </x:c>
      <x:c r="M115" s="18" t="str">
        <x:v>Feed visible</x:v>
      </x:c>
      <x:c r="N115" s="18" t="str"/>
    </x:row>
    <x:row r="116" ht="15" hidden="0" customHeight="1">
      <x:c r="A116" t="n">
        <x:v>115</x:v>
      </x:c>
      <x:c r="B116" s="18" t="str">
        <x:v>Mesa Pegable</x:v>
      </x:c>
      <x:c r="C116" s="18" t="str">
        <x:v>Hogar</x:v>
      </x:c>
      <x:c r="D116" s="18" t="str">
        <x:v>OH HOMIE</x:v>
      </x:c>
      <x:c r="E116" s="18" t="n">
        <x:v>286</x:v>
      </x:c>
      <x:c r="F116" s="28" t="n">
        <x:v>62000</x:v>
      </x:c>
      <x:c r="G116" s="28" t="n">
        <x:v>81000</x:v>
      </x:c>
      <x:c r="H116" s="28" t="n">
        <x:f>IF(OR(F116="",G116=""),"",G116-F116)</x:f>
        <x:v>19000</x:v>
      </x:c>
      <x:c r="I116" s="30" t="n">
        <x:f>IF(OR(F116="",G116="",G116=0),"",(G116-F116)/G116)</x:f>
        <x:v>0.2345679012345679</x:v>
      </x:c>
      <x:c r="J116" s="18" t="str">
        <x:v>Activo</x:v>
      </x:c>
      <x:c r="K116" s="18" t="str">
        <x:v>Exclusivo</x:v>
      </x:c>
      <x:c r="L116" s="18" t="str">
        <x:v>Bogotá</x:v>
      </x:c>
      <x:c r="M116" s="18" t="str">
        <x:v>Feed visible</x:v>
      </x:c>
      <x:c r="N116" s="18" t="str"/>
    </x:row>
    <x:row r="117" ht="15" hidden="0" customHeight="1">
      <x:c r="A117" t="n">
        <x:v>116</x:v>
      </x:c>
      <x:c r="B117" s="18" t="str">
        <x:v>Set Bano Portatil Con Tapa</x:v>
      </x:c>
      <x:c r="C117" s="18" t="str">
        <x:v>Aseo</x:v>
      </x:c>
      <x:c r="D117" s="18" t="str">
        <x:v>OH HOMIE</x:v>
      </x:c>
      <x:c r="E117" s="18" t="n">
        <x:v>296</x:v>
      </x:c>
      <x:c r="F117" s="28" t="n">
        <x:v>17000</x:v>
      </x:c>
      <x:c r="G117" s="28" t="n">
        <x:v>30000</x:v>
      </x:c>
      <x:c r="H117" s="28" t="n">
        <x:f>IF(OR(F117="",G117=""),"",G117-F117)</x:f>
        <x:v>13000</x:v>
      </x:c>
      <x:c r="I117" s="30" t="n">
        <x:f>IF(OR(F117="",G117="",G117=0),"",(G117-F117)/G117)</x:f>
        <x:v>0.43333333333333335</x:v>
      </x:c>
      <x:c r="J117" s="18" t="str">
        <x:v>Activo</x:v>
      </x:c>
      <x:c r="K117" s="18" t="str">
        <x:v>Exclusivo</x:v>
      </x:c>
      <x:c r="L117" s="18" t="str">
        <x:v>Bogotá</x:v>
      </x:c>
      <x:c r="M117" s="18" t="str">
        <x:v>Feed visible</x:v>
      </x:c>
      <x:c r="N117" s="18" t="str"/>
    </x:row>
    <x:row r="118" ht="15" hidden="0" customHeight="1">
      <x:c r="A118" t="n">
        <x:v>117</x:v>
      </x:c>
      <x:c r="B118" s="18" t="str">
        <x:v>Tendedero De Ropa Plegable En Aluminio</x:v>
      </x:c>
      <x:c r="C118" s="18" t="str">
        <x:v>Hogar</x:v>
      </x:c>
      <x:c r="D118" s="18" t="str">
        <x:v>OH HOMIE</x:v>
      </x:c>
      <x:c r="E118" s="18" t="n">
        <x:v>280</x:v>
      </x:c>
      <x:c r="F118" s="28" t="n">
        <x:v>48000</x:v>
      </x:c>
      <x:c r="G118" s="28" t="n">
        <x:v>70000</x:v>
      </x:c>
      <x:c r="H118" s="28" t="n">
        <x:f>IF(OR(F118="",G118=""),"",G118-F118)</x:f>
        <x:v>22000</x:v>
      </x:c>
      <x:c r="I118" s="30" t="n">
        <x:f>IF(OR(F118="",G118="",G118=0),"",(G118-F118)/G118)</x:f>
        <x:v>0.3142857142857143</x:v>
      </x:c>
      <x:c r="J118" s="18" t="str">
        <x:v>Activo</x:v>
      </x:c>
      <x:c r="K118" s="18" t="str">
        <x:v>Exclusivo</x:v>
      </x:c>
      <x:c r="L118" s="18" t="str">
        <x:v>Bogotá</x:v>
      </x:c>
      <x:c r="M118" s="18" t="str">
        <x:v>Feed visible</x:v>
      </x:c>
      <x:c r="N118" s="18" t="str"/>
    </x:row>
    <x:row r="119" ht="15" hidden="0" customHeight="1">
      <x:c r="A119" t="n">
        <x:v>118</x:v>
      </x:c>
      <x:c r="B119" s="18" t="str">
        <x:v>Organizador Multifuncional Muor16</x:v>
      </x:c>
      <x:c r="C119" s="18" t="str">
        <x:v>Hogar</x:v>
      </x:c>
      <x:c r="D119" s="18" t="str">
        <x:v>OH HOMIE</x:v>
      </x:c>
      <x:c r="E119" s="18" t="n">
        <x:v>148</x:v>
      </x:c>
      <x:c r="F119" s="28" t="n">
        <x:v>47500</x:v>
      </x:c>
      <x:c r="G119" s="28"/>
      <x:c r="H119" s="28" t="str">
        <x:f>IF(OR(F119="",G119=""),"",G119-F119)</x:f>
      </x:c>
      <x:c r="I119" s="30" t="str">
        <x:f>IF(OR(F119="",G119="",G119=0),"",(G119-F119)/G119)</x:f>
      </x:c>
      <x:c r="J119" s="18" t="str">
        <x:v>Activo</x:v>
      </x:c>
      <x:c r="K119" s="18" t="str">
        <x:v>Exclusivo / Variable</x:v>
      </x:c>
      <x:c r="L119" s="18" t="str">
        <x:v>Bogotá</x:v>
      </x:c>
      <x:c r="M119" s="18" t="str">
        <x:v>Feed visible</x:v>
      </x:c>
      <x:c r="N119" s="18" t="str">
        <x:v>Precio sugerido no visible completo</x:v>
      </x:c>
    </x:row>
    <x:row r="120" ht="15" hidden="0" customHeight="1">
      <x:c r="A120" t="n">
        <x:v>119</x:v>
      </x:c>
      <x:c r="B120" s="18" t="str">
        <x:v>Esquinero De Bano</x:v>
      </x:c>
      <x:c r="C120" s="18" t="str">
        <x:v>Hogar</x:v>
      </x:c>
      <x:c r="D120" s="18" t="str">
        <x:v>OH HOMIE</x:v>
      </x:c>
      <x:c r="E120" s="18" t="n">
        <x:v>34</x:v>
      </x:c>
      <x:c r="F120" s="28" t="n">
        <x:v>38000</x:v>
      </x:c>
      <x:c r="G120" s="28" t="n">
        <x:v>59000</x:v>
      </x:c>
      <x:c r="H120" s="28" t="n">
        <x:f>IF(OR(F120="",G120=""),"",G120-F120)</x:f>
        <x:v>21000</x:v>
      </x:c>
      <x:c r="I120" s="30" t="n">
        <x:f>IF(OR(F120="",G120="",G120=0),"",(G120-F120)/G120)</x:f>
        <x:v>0.3559322033898305</x:v>
      </x:c>
      <x:c r="J120" s="18" t="str">
        <x:v>Activo</x:v>
      </x:c>
      <x:c r="K120" s="18" t="str">
        <x:v>Exclusivo</x:v>
      </x:c>
      <x:c r="L120" s="18" t="str">
        <x:v>Bogotá</x:v>
      </x:c>
      <x:c r="M120" s="18" t="str">
        <x:v>Feed visible</x:v>
      </x:c>
      <x:c r="N120" s="18" t="str"/>
    </x:row>
    <x:row r="121" ht="15" hidden="0" customHeight="1">
      <x:c r="A121" t="n">
        <x:v>120</x:v>
      </x:c>
      <x:c r="B121" s="18" t="str">
        <x:v>Camiseta Somatex Mujer</x:v>
      </x:c>
      <x:c r="C121" s="18" t="str">
        <x:v>Ropa Deportiva</x:v>
      </x:c>
      <x:c r="D121" s="18" t="str">
        <x:v>OH HOMIE</x:v>
      </x:c>
      <x:c r="E121" s="18" t="n">
        <x:v>293</x:v>
      </x:c>
      <x:c r="F121" s="28" t="n">
        <x:v>19000</x:v>
      </x:c>
      <x:c r="G121" s="28" t="n">
        <x:v>30000</x:v>
      </x:c>
      <x:c r="H121" s="28" t="n">
        <x:f>IF(OR(F121="",G121=""),"",G121-F121)</x:f>
        <x:v>11000</x:v>
      </x:c>
      <x:c r="I121" s="30" t="n">
        <x:f>IF(OR(F121="",G121="",G121=0),"",(G121-F121)/G121)</x:f>
        <x:v>0.36666666666666664</x:v>
      </x:c>
      <x:c r="J121" s="18" t="str">
        <x:v>Activo</x:v>
      </x:c>
      <x:c r="K121" s="18" t="str">
        <x:v>Exclusivo / Variable</x:v>
      </x:c>
      <x:c r="L121" s="18" t="str">
        <x:v>Bogotá</x:v>
      </x:c>
      <x:c r="M121" s="18" t="str">
        <x:v>Feed visible</x:v>
      </x:c>
      <x:c r="N121" s="18" t="str"/>
    </x:row>
    <x:row r="122" ht="15" hidden="0" customHeight="1">
      <x:c r="A122" t="n">
        <x:v>121</x:v>
      </x:c>
      <x:c r="B122" s="18" t="str">
        <x:v>Tabla De Cortar</x:v>
      </x:c>
      <x:c r="C122" s="18" t="str">
        <x:v>Cocina</x:v>
      </x:c>
      <x:c r="D122" s="18" t="str">
        <x:v>OH HOMIE</x:v>
      </x:c>
      <x:c r="E122" s="18" t="n">
        <x:v>165</x:v>
      </x:c>
      <x:c r="F122" s="28" t="n">
        <x:v>32000</x:v>
      </x:c>
      <x:c r="G122" s="28" t="n">
        <x:v>60000</x:v>
      </x:c>
      <x:c r="H122" s="28" t="n">
        <x:f>IF(OR(F122="",G122=""),"",G122-F122)</x:f>
        <x:v>28000</x:v>
      </x:c>
      <x:c r="I122" s="30" t="n">
        <x:f>IF(OR(F122="",G122="",G122=0),"",(G122-F122)/G122)</x:f>
        <x:v>0.4666666666666667</x:v>
      </x:c>
      <x:c r="J122" s="18" t="str">
        <x:v>Activo</x:v>
      </x:c>
      <x:c r="K122" s="18" t="str">
        <x:v>Exclusivo</x:v>
      </x:c>
      <x:c r="L122" s="18" t="str">
        <x:v>Bogotá</x:v>
      </x:c>
      <x:c r="M122" s="18" t="str">
        <x:v>Feed visible</x:v>
      </x:c>
      <x:c r="N122" s="18" t="str"/>
    </x:row>
    <x:row r="123" ht="15" hidden="0" customHeight="1">
      <x:c r="A123" t="n">
        <x:v>122</x:v>
      </x:c>
      <x:c r="B123" s="18" t="str">
        <x:v>Parches Dolor De Espalda</x:v>
      </x:c>
      <x:c r="C123" s="18" t="str">
        <x:v>Bienestar</x:v>
      </x:c>
      <x:c r="D123" s="18" t="str">
        <x:v>OH HOMIE</x:v>
      </x:c>
      <x:c r="E123" s="18" t="n">
        <x:v>298</x:v>
      </x:c>
      <x:c r="F123" s="28" t="n">
        <x:v>9000</x:v>
      </x:c>
      <x:c r="G123" s="28" t="n">
        <x:v>18000</x:v>
      </x:c>
      <x:c r="H123" s="28" t="n">
        <x:f>IF(OR(F123="",G123=""),"",G123-F123)</x:f>
        <x:v>9000</x:v>
      </x:c>
      <x:c r="I123" s="30" t="n">
        <x:f>IF(OR(F123="",G123="",G123=0),"",(G123-F123)/G123)</x:f>
        <x:v>0.5</x:v>
      </x:c>
      <x:c r="J123" s="18" t="str">
        <x:v>Activo</x:v>
      </x:c>
      <x:c r="K123" s="18" t="str">
        <x:v>Exclusivo</x:v>
      </x:c>
      <x:c r="L123" s="18" t="str">
        <x:v>Bogotá</x:v>
      </x:c>
      <x:c r="M123" s="18" t="str">
        <x:v>Feed visible</x:v>
      </x:c>
      <x:c r="N123" s="18" t="str"/>
    </x:row>
    <x:row r="124" ht="15" hidden="0" customHeight="1">
      <x:c r="A124" t="n">
        <x:v>123</x:v>
      </x:c>
      <x:c r="B124" s="18" t="str">
        <x:v>Rollo De Hielo Masajeador</x:v>
      </x:c>
      <x:c r="C124" s="18" t="str">
        <x:v>Belleza</x:v>
      </x:c>
      <x:c r="D124" s="18" t="str">
        <x:v>OH HOMIE</x:v>
      </x:c>
      <x:c r="E124" s="18" t="n">
        <x:v>27</x:v>
      </x:c>
      <x:c r="F124" s="28" t="n">
        <x:v>15000</x:v>
      </x:c>
      <x:c r="G124" s="28" t="n">
        <x:v>24000</x:v>
      </x:c>
      <x:c r="H124" s="28" t="n">
        <x:f>IF(OR(F124="",G124=""),"",G124-F124)</x:f>
        <x:v>9000</x:v>
      </x:c>
      <x:c r="I124" s="30" t="n">
        <x:f>IF(OR(F124="",G124="",G124=0),"",(G124-F124)/G124)</x:f>
        <x:v>0.375</x:v>
      </x:c>
      <x:c r="J124" s="18" t="str">
        <x:v>Activo</x:v>
      </x:c>
      <x:c r="K124" s="18" t="str">
        <x:v>Exclusivo</x:v>
      </x:c>
      <x:c r="L124" s="18" t="str">
        <x:v>Bogotá</x:v>
      </x:c>
      <x:c r="M124" s="18" t="str">
        <x:v>Feed visible</x:v>
      </x:c>
      <x:c r="N124" s="18" t="str"/>
    </x:row>
    <x:row r="125" ht="15" hidden="0" customHeight="1">
      <x:c r="A125" t="n">
        <x:v>124</x:v>
      </x:c>
      <x:c r="B125" s="18" t="str">
        <x:v>Dispensador De Jabon Para Platos</x:v>
      </x:c>
      <x:c r="C125" s="18" t="str">
        <x:v>Cocina</x:v>
      </x:c>
      <x:c r="D125" s="18" t="str">
        <x:v>OH HOMIE</x:v>
      </x:c>
      <x:c r="E125" s="18" t="n">
        <x:v>298</x:v>
      </x:c>
      <x:c r="F125" s="28" t="n">
        <x:v>25000</x:v>
      </x:c>
      <x:c r="G125" s="28" t="n">
        <x:v>40000</x:v>
      </x:c>
      <x:c r="H125" s="28" t="n">
        <x:f>IF(OR(F125="",G125=""),"",G125-F125)</x:f>
        <x:v>15000</x:v>
      </x:c>
      <x:c r="I125" s="30" t="n">
        <x:f>IF(OR(F125="",G125="",G125=0),"",(G125-F125)/G125)</x:f>
        <x:v>0.375</x:v>
      </x:c>
      <x:c r="J125" s="18" t="str">
        <x:v>Activo</x:v>
      </x:c>
      <x:c r="K125" s="18" t="str">
        <x:v>Exclusivo</x:v>
      </x:c>
      <x:c r="L125" s="18" t="str">
        <x:v>Bogotá</x:v>
      </x:c>
      <x:c r="M125" s="18" t="str">
        <x:v>Feed visible</x:v>
      </x:c>
      <x:c r="N125" s="18" t="str"/>
    </x:row>
    <x:row r="126" ht="15" hidden="0" customHeight="1">
      <x:c r="A126" t="n">
        <x:v>125</x:v>
      </x:c>
      <x:c r="B126" s="18" t="str">
        <x:v>Aspiradora Antiacaro</x:v>
      </x:c>
      <x:c r="C126" s="18" t="str">
        <x:v>Salud</x:v>
      </x:c>
      <x:c r="D126" s="18" t="str">
        <x:v>OH HOMIE</x:v>
      </x:c>
      <x:c r="E126" s="18" t="n">
        <x:v>336</x:v>
      </x:c>
      <x:c r="F126" s="28" t="n">
        <x:v>29800</x:v>
      </x:c>
      <x:c r="G126" s="28" t="n">
        <x:v>35000</x:v>
      </x:c>
      <x:c r="H126" s="28" t="n">
        <x:f>IF(OR(F126="",G126=""),"",G126-F126)</x:f>
        <x:v>5200</x:v>
      </x:c>
      <x:c r="I126" s="30" t="n">
        <x:f>IF(OR(F126="",G126="",G126=0),"",(G126-F126)/G126)</x:f>
        <x:v>0.14857142857142858</x:v>
      </x:c>
      <x:c r="J126" s="18" t="str">
        <x:v>Activo</x:v>
      </x:c>
      <x:c r="K126" s="18" t="str">
        <x:v>Exclusivo</x:v>
      </x:c>
      <x:c r="L126" s="18" t="str">
        <x:v>Bogotá</x:v>
      </x:c>
      <x:c r="M126" s="18" t="str">
        <x:v>Feed visible</x:v>
      </x:c>
      <x:c r="N126" s="18" t="str"/>
    </x:row>
    <x:row r="127" ht="15" hidden="0" customHeight="1">
      <x:c r="A127" t="n">
        <x:v>126</x:v>
      </x:c>
      <x:c r="B127" s="18" t="str">
        <x:v>Mochila Transportadora Mascotas Pd21</x:v>
      </x:c>
      <x:c r="C127" s="18" t="str">
        <x:v>Mascotas</x:v>
      </x:c>
      <x:c r="D127" s="18" t="str">
        <x:v>OH HOMIE</x:v>
      </x:c>
      <x:c r="E127" s="18" t="n">
        <x:v>250</x:v>
      </x:c>
      <x:c r="F127" s="28" t="n">
        <x:v>50000</x:v>
      </x:c>
      <x:c r="G127" s="28" t="n">
        <x:v>95000</x:v>
      </x:c>
      <x:c r="H127" s="28" t="n">
        <x:f>IF(OR(F127="",G127=""),"",G127-F127)</x:f>
        <x:v>45000</x:v>
      </x:c>
      <x:c r="I127" s="30" t="n">
        <x:f>IF(OR(F127="",G127="",G127=0),"",(G127-F127)/G127)</x:f>
        <x:v>0.47368421052631576</x:v>
      </x:c>
      <x:c r="J127" s="18" t="str">
        <x:v>Activo</x:v>
      </x:c>
      <x:c r="K127" s="18" t="str">
        <x:v>Exclusivo</x:v>
      </x:c>
      <x:c r="L127" s="18" t="str">
        <x:v>Bogotá</x:v>
      </x:c>
      <x:c r="M127" s="18" t="str">
        <x:v>Feed visible</x:v>
      </x:c>
      <x:c r="N127" s="18" t="str"/>
    </x:row>
    <x:row r="128" ht="15" hidden="0" customHeight="1">
      <x:c r="A128" t="n">
        <x:v>127</x:v>
      </x:c>
      <x:c r="B128" s="18" t="str">
        <x:v>Cortadora De Pelo</x:v>
      </x:c>
      <x:c r="C128" s="18" t="str">
        <x:v>Belleza</x:v>
      </x:c>
      <x:c r="D128" s="18" t="str">
        <x:v>OH HOMIE</x:v>
      </x:c>
      <x:c r="E128" s="18" t="n">
        <x:v>300</x:v>
      </x:c>
      <x:c r="F128" s="28" t="n">
        <x:v>54000</x:v>
      </x:c>
      <x:c r="G128" s="28" t="n">
        <x:v>79000</x:v>
      </x:c>
      <x:c r="H128" s="28" t="n">
        <x:f>IF(OR(F128="",G128=""),"",G128-F128)</x:f>
        <x:v>25000</x:v>
      </x:c>
      <x:c r="I128" s="30" t="n">
        <x:f>IF(OR(F128="",G128="",G128=0),"",(G128-F128)/G128)</x:f>
        <x:v>0.31645569620253167</x:v>
      </x:c>
      <x:c r="J128" s="18" t="str">
        <x:v>Activo</x:v>
      </x:c>
      <x:c r="K128" s="18" t="str">
        <x:v>Exclusivo</x:v>
      </x:c>
      <x:c r="L128" s="18" t="str">
        <x:v>Bogotá</x:v>
      </x:c>
      <x:c r="M128" s="18" t="str">
        <x:v>Feed visible</x:v>
      </x:c>
      <x:c r="N128" s="18" t="str"/>
    </x:row>
    <x:row r="129" ht="15" hidden="0" customHeight="1">
      <x:c r="A129" t="n">
        <x:v>128</x:v>
      </x:c>
      <x:c r="B129" s="18" t="str">
        <x:v>Reloj Inteligente T500</x:v>
      </x:c>
      <x:c r="C129" s="18" t="str">
        <x:v>Tecnología</x:v>
      </x:c>
      <x:c r="D129" s="18" t="str">
        <x:v>OH HOMIE</x:v>
      </x:c>
      <x:c r="E129" s="18" t="n">
        <x:v>281</x:v>
      </x:c>
      <x:c r="F129" s="28" t="n">
        <x:v>21000</x:v>
      </x:c>
      <x:c r="G129" s="28" t="n">
        <x:v>31000</x:v>
      </x:c>
      <x:c r="H129" s="28" t="n">
        <x:f>IF(OR(F129="",G129=""),"",G129-F129)</x:f>
        <x:v>10000</x:v>
      </x:c>
      <x:c r="I129" s="30" t="n">
        <x:f>IF(OR(F129="",G129="",G129=0),"",(G129-F129)/G129)</x:f>
        <x:v>0.3225806451612903</x:v>
      </x:c>
      <x:c r="J129" s="18" t="str">
        <x:v>Activo</x:v>
      </x:c>
      <x:c r="K129" s="18" t="str">
        <x:v>Exclusivo</x:v>
      </x:c>
      <x:c r="L129" s="18" t="str">
        <x:v>Bogotá</x:v>
      </x:c>
      <x:c r="M129" s="18" t="str">
        <x:v>Feed visible</x:v>
      </x:c>
      <x:c r="N129" s="18" t="str"/>
    </x:row>
    <x:row r="130" ht="15" hidden="0" customHeight="1">
      <x:c r="A130" t="n">
        <x:v>129</x:v>
      </x:c>
      <x:c r="B130" s="18" t="str">
        <x:v>Organizador De Ropa Plegable X3</x:v>
      </x:c>
      <x:c r="C130" s="18" t="str">
        <x:v>Hogar</x:v>
      </x:c>
      <x:c r="D130" s="18" t="str">
        <x:v>OH HOMIE</x:v>
      </x:c>
      <x:c r="E130" s="18" t="n">
        <x:v>300</x:v>
      </x:c>
      <x:c r="F130" s="28" t="n">
        <x:v>12000</x:v>
      </x:c>
      <x:c r="G130" s="28" t="n">
        <x:v>22000</x:v>
      </x:c>
      <x:c r="H130" s="28" t="n">
        <x:f>IF(OR(F130="",G130=""),"",G130-F130)</x:f>
        <x:v>10000</x:v>
      </x:c>
      <x:c r="I130" s="30" t="n">
        <x:f>IF(OR(F130="",G130="",G130=0),"",(G130-F130)/G130)</x:f>
        <x:v>0.45454545454545453</x:v>
      </x:c>
      <x:c r="J130" s="18" t="str">
        <x:v>Activo</x:v>
      </x:c>
      <x:c r="K130" s="18" t="str">
        <x:v>Exclusivo</x:v>
      </x:c>
      <x:c r="L130" s="18" t="str">
        <x:v>Bogotá</x:v>
      </x:c>
      <x:c r="M130" s="18" t="str">
        <x:v>Feed visible</x:v>
      </x:c>
      <x:c r="N130" s="18" t="str"/>
    </x:row>
    <x:row r="131" ht="15" hidden="0" customHeight="1">
      <x:c r="A131" t="n">
        <x:v>130</x:v>
      </x:c>
      <x:c r="B131" s="18" t="str">
        <x:v>Maquina Dermapen</x:v>
      </x:c>
      <x:c r="C131" s="18" t="str">
        <x:v>Belleza</x:v>
      </x:c>
      <x:c r="D131" s="18" t="str">
        <x:v>OH HOMIE</x:v>
      </x:c>
      <x:c r="E131" s="18" t="n">
        <x:v>299</x:v>
      </x:c>
      <x:c r="F131" s="28" t="n">
        <x:v>62500</x:v>
      </x:c>
      <x:c r="G131" s="28" t="n">
        <x:v>75000</x:v>
      </x:c>
      <x:c r="H131" s="28" t="n">
        <x:f>IF(OR(F131="",G131=""),"",G131-F131)</x:f>
        <x:v>12500</x:v>
      </x:c>
      <x:c r="I131" s="30" t="n">
        <x:f>IF(OR(F131="",G131="",G131=0),"",(G131-F131)/G131)</x:f>
        <x:v>0.16666666666666666</x:v>
      </x:c>
      <x:c r="J131" s="18" t="str">
        <x:v>Activo</x:v>
      </x:c>
      <x:c r="K131" s="18" t="str">
        <x:v>Exclusivo</x:v>
      </x:c>
      <x:c r="L131" s="18" t="str">
        <x:v>Bogotá</x:v>
      </x:c>
      <x:c r="M131" s="18" t="str">
        <x:v>Feed visible</x:v>
      </x:c>
      <x:c r="N131" s="18" t="str"/>
    </x:row>
    <x:row r="132" ht="15" hidden="0" customHeight="1">
      <x:c r="A132" t="n">
        <x:v>131</x:v>
      </x:c>
      <x:c r="B132" s="18" t="str">
        <x:v>Lavadora Portatil</x:v>
      </x:c>
      <x:c r="C132" s="18" t="str">
        <x:v>Hogar</x:v>
      </x:c>
      <x:c r="D132" s="18" t="str">
        <x:v>OH HOMIE</x:v>
      </x:c>
      <x:c r="E132" s="18" t="n">
        <x:v>281</x:v>
      </x:c>
      <x:c r="F132" s="28" t="n">
        <x:v>32000</x:v>
      </x:c>
      <x:c r="G132" s="28" t="n">
        <x:v>40000</x:v>
      </x:c>
      <x:c r="H132" s="28" t="n">
        <x:f>IF(OR(F132="",G132=""),"",G132-F132)</x:f>
        <x:v>8000</x:v>
      </x:c>
      <x:c r="I132" s="30" t="n">
        <x:f>IF(OR(F132="",G132="",G132=0),"",(G132-F132)/G132)</x:f>
        <x:v>0.2</x:v>
      </x:c>
      <x:c r="J132" s="18" t="str">
        <x:v>Activo</x:v>
      </x:c>
      <x:c r="K132" s="18" t="str">
        <x:v>Exclusivo</x:v>
      </x:c>
      <x:c r="L132" s="18" t="str">
        <x:v>Bogotá</x:v>
      </x:c>
      <x:c r="M132" s="18" t="str">
        <x:v>Feed visible</x:v>
      </x:c>
      <x:c r="N132" s="18" t="str"/>
    </x:row>
    <x:row r="133" ht="15" hidden="0" customHeight="1">
      <x:c r="A133" t="n">
        <x:v>132</x:v>
      </x:c>
      <x:c r="B133" s="18" t="str">
        <x:v>Aspiradora Electrica De Mascotas</x:v>
      </x:c>
      <x:c r="C133" s="18" t="str">
        <x:v>Mascotas</x:v>
      </x:c>
      <x:c r="D133" s="18" t="str">
        <x:v>OH HOMIE</x:v>
      </x:c>
      <x:c r="E133" s="18" t="n">
        <x:v>292</x:v>
      </x:c>
      <x:c r="F133" s="28" t="n">
        <x:v>23000</x:v>
      </x:c>
      <x:c r="G133" s="28" t="n">
        <x:v>47000</x:v>
      </x:c>
      <x:c r="H133" s="28" t="n">
        <x:f>IF(OR(F133="",G133=""),"",G133-F133)</x:f>
        <x:v>24000</x:v>
      </x:c>
      <x:c r="I133" s="30" t="n">
        <x:f>IF(OR(F133="",G133="",G133=0),"",(G133-F133)/G133)</x:f>
        <x:v>0.5106382978723404</x:v>
      </x:c>
      <x:c r="J133" s="18" t="str">
        <x:v>Activo</x:v>
      </x:c>
      <x:c r="K133" s="18" t="str">
        <x:v>Exclusivo</x:v>
      </x:c>
      <x:c r="L133" s="18" t="str">
        <x:v>Bogotá</x:v>
      </x:c>
      <x:c r="M133" s="18" t="str">
        <x:v>Feed visible</x:v>
      </x:c>
      <x:c r="N133" s="18" t="str"/>
    </x:row>
    <x:row r="134" ht="15" hidden="0" customHeight="1">
      <x:c r="A134" t="n">
        <x:v>133</x:v>
      </x:c>
      <x:c r="B134" s="18" t="str">
        <x:v>Luz Led Recargablecl08</x:v>
      </x:c>
      <x:c r="C134" s="18" t="str">
        <x:v>Hogar</x:v>
      </x:c>
      <x:c r="D134" s="18" t="str">
        <x:v>OH HOMIE</x:v>
      </x:c>
      <x:c r="E134" s="18" t="n">
        <x:v>300</x:v>
      </x:c>
      <x:c r="F134" s="28" t="n">
        <x:v>23000</x:v>
      </x:c>
      <x:c r="G134" s="28" t="n">
        <x:v>40000</x:v>
      </x:c>
      <x:c r="H134" s="28" t="n">
        <x:f>IF(OR(F134="",G134=""),"",G134-F134)</x:f>
        <x:v>17000</x:v>
      </x:c>
      <x:c r="I134" s="30" t="n">
        <x:f>IF(OR(F134="",G134="",G134=0),"",(G134-F134)/G134)</x:f>
        <x:v>0.425</x:v>
      </x:c>
      <x:c r="J134" s="18" t="str">
        <x:v>Activo</x:v>
      </x:c>
      <x:c r="K134" s="18" t="str">
        <x:v>Exclusivo</x:v>
      </x:c>
      <x:c r="L134" s="18" t="str">
        <x:v>Bogotá</x:v>
      </x:c>
      <x:c r="M134" s="18" t="str">
        <x:v>Feed visible</x:v>
      </x:c>
      <x:c r="N134" s="18" t="str"/>
    </x:row>
    <x:row r="135" ht="15" hidden="0" customHeight="1">
      <x:c r="A135" t="n">
        <x:v>134</x:v>
      </x:c>
      <x:c r="B135" s="18" t="str">
        <x:v>Sorpresa Stitch</x:v>
      </x:c>
      <x:c r="C135" s="18" t="str">
        <x:v>Otro</x:v>
      </x:c>
      <x:c r="D135" s="18" t="str">
        <x:v>OH HOMIE</x:v>
      </x:c>
      <x:c r="E135" s="18" t="n">
        <x:v>296</x:v>
      </x:c>
      <x:c r="F135" s="28" t="n">
        <x:v>20000</x:v>
      </x:c>
      <x:c r="G135" s="28" t="n">
        <x:v>40000</x:v>
      </x:c>
      <x:c r="H135" s="28" t="n">
        <x:f>IF(OR(F135="",G135=""),"",G135-F135)</x:f>
        <x:v>20000</x:v>
      </x:c>
      <x:c r="I135" s="30" t="n">
        <x:f>IF(OR(F135="",G135="",G135=0),"",(G135-F135)/G135)</x:f>
        <x:v>0.5</x:v>
      </x:c>
      <x:c r="J135" s="18" t="str">
        <x:v>Activo</x:v>
      </x:c>
      <x:c r="K135" s="18" t="str">
        <x:v>Exclusivo</x:v>
      </x:c>
      <x:c r="L135" s="18" t="str">
        <x:v>Bogotá</x:v>
      </x:c>
      <x:c r="M135" s="18" t="str">
        <x:v>Feed visible</x:v>
      </x:c>
      <x:c r="N135" s="18" t="str"/>
    </x:row>
    <x:row r="136" ht="15" hidden="0" customHeight="1">
      <x:c r="A136" t="n">
        <x:v>135</x:v>
      </x:c>
      <x:c r="B136" s="18" t="str">
        <x:v>Patineta Monster</x:v>
      </x:c>
      <x:c r="C136" s="18" t="str">
        <x:v>Otro</x:v>
      </x:c>
      <x:c r="D136" s="18" t="str">
        <x:v>OH HOMIE</x:v>
      </x:c>
      <x:c r="E136" s="18" t="n">
        <x:v>300</x:v>
      </x:c>
      <x:c r="F136" s="28" t="n">
        <x:v>95000</x:v>
      </x:c>
      <x:c r="G136" s="28" t="n">
        <x:v>120000</x:v>
      </x:c>
      <x:c r="H136" s="28" t="n">
        <x:f>IF(OR(F136="",G136=""),"",G136-F136)</x:f>
        <x:v>25000</x:v>
      </x:c>
      <x:c r="I136" s="30" t="n">
        <x:f>IF(OR(F136="",G136="",G136=0),"",(G136-F136)/G136)</x:f>
        <x:v>0.20833333333333334</x:v>
      </x:c>
      <x:c r="J136" s="18" t="str">
        <x:v>Activo</x:v>
      </x:c>
      <x:c r="K136" s="18" t="str">
        <x:v>Exclusivo</x:v>
      </x:c>
      <x:c r="L136" s="18" t="str">
        <x:v>Bogotá</x:v>
      </x:c>
      <x:c r="M136" s="18" t="str">
        <x:v>Feed visible</x:v>
      </x:c>
      <x:c r="N136" s="18" t="str"/>
    </x:row>
    <x:row r="137" ht="15" hidden="0" customHeight="1">
      <x:c r="A137" t="n">
        <x:v>136</x:v>
      </x:c>
      <x:c r="B137" s="18" t="str">
        <x:v>Lonchera Capybara Tipo Peluche</x:v>
      </x:c>
      <x:c r="C137" s="18" t="str">
        <x:v>Bebé</x:v>
      </x:c>
      <x:c r="D137" s="18" t="str">
        <x:v>OH HOMIE</x:v>
      </x:c>
      <x:c r="E137" s="18" t="n">
        <x:v>292</x:v>
      </x:c>
      <x:c r="F137" s="28" t="n">
        <x:v>21000</x:v>
      </x:c>
      <x:c r="G137" s="28" t="n">
        <x:v>41000</x:v>
      </x:c>
      <x:c r="H137" s="28" t="n">
        <x:f>IF(OR(F137="",G137=""),"",G137-F137)</x:f>
        <x:v>20000</x:v>
      </x:c>
      <x:c r="I137" s="30" t="n">
        <x:f>IF(OR(F137="",G137="",G137=0),"",(G137-F137)/G137)</x:f>
        <x:v>0.4878048780487805</x:v>
      </x:c>
      <x:c r="J137" s="18" t="str">
        <x:v>Activo</x:v>
      </x:c>
      <x:c r="K137" s="18" t="str">
        <x:v>Exclusivo</x:v>
      </x:c>
      <x:c r="L137" s="18" t="str">
        <x:v>Bogotá</x:v>
      </x:c>
      <x:c r="M137" s="18" t="str">
        <x:v>Feed visible</x:v>
      </x:c>
      <x:c r="N137" s="18" t="str"/>
    </x:row>
    <x:row r="138" ht="15" hidden="0" customHeight="1">
      <x:c r="A138" t="n">
        <x:v>137</x:v>
      </x:c>
      <x:c r="B138" s="18" t="str">
        <x:v>Mosquitero Para Bebes</x:v>
      </x:c>
      <x:c r="C138" s="18" t="str">
        <x:v>Bebé</x:v>
      </x:c>
      <x:c r="D138" s="18" t="str">
        <x:v>OH HOMIE</x:v>
      </x:c>
      <x:c r="E138" s="18" t="n">
        <x:v>49</x:v>
      </x:c>
      <x:c r="F138" s="28" t="n">
        <x:v>42000</x:v>
      </x:c>
      <x:c r="G138" s="28" t="n">
        <x:v>72000</x:v>
      </x:c>
      <x:c r="H138" s="28" t="n">
        <x:f>IF(OR(F138="",G138=""),"",G138-F138)</x:f>
        <x:v>30000</x:v>
      </x:c>
      <x:c r="I138" s="30" t="n">
        <x:f>IF(OR(F138="",G138="",G138=0),"",(G138-F138)/G138)</x:f>
        <x:v>0.4166666666666667</x:v>
      </x:c>
      <x:c r="J138" s="18" t="str">
        <x:v>Activo</x:v>
      </x:c>
      <x:c r="K138" s="18" t="str">
        <x:v>Exclusivo / Variable</x:v>
      </x:c>
      <x:c r="L138" s="18" t="str">
        <x:v>Bogotá</x:v>
      </x:c>
      <x:c r="M138" s="18" t="str">
        <x:v>Feed visible</x:v>
      </x:c>
      <x:c r="N138" s="18" t="str"/>
    </x:row>
    <x:row r="139" ht="15" hidden="0" customHeight="1">
      <x:c r="A139" t="n">
        <x:v>138</x:v>
      </x:c>
      <x:c r="B139" s="18" t="str">
        <x:v>Pistola De Burbujas 4561a</x:v>
      </x:c>
      <x:c r="C139" s="18" t="str">
        <x:v>Juguetería</x:v>
      </x:c>
      <x:c r="D139" s="18" t="str">
        <x:v>OH HOMIE</x:v>
      </x:c>
      <x:c r="E139" s="18" t="n">
        <x:v>258</x:v>
      </x:c>
      <x:c r="F139" s="28" t="n">
        <x:v>49000</x:v>
      </x:c>
      <x:c r="G139" s="28" t="n">
        <x:v>72000</x:v>
      </x:c>
      <x:c r="H139" s="28" t="n">
        <x:f>IF(OR(F139="",G139=""),"",G139-F139)</x:f>
        <x:v>23000</x:v>
      </x:c>
      <x:c r="I139" s="30" t="n">
        <x:f>IF(OR(F139="",G139="",G139=0),"",(G139-F139)/G139)</x:f>
        <x:v>0.3194444444444444</x:v>
      </x:c>
      <x:c r="J139" s="18" t="str">
        <x:v>Activo</x:v>
      </x:c>
      <x:c r="K139" s="18" t="str">
        <x:v>Exclusivo</x:v>
      </x:c>
      <x:c r="L139" s="18" t="str">
        <x:v>Bogotá</x:v>
      </x:c>
      <x:c r="M139" s="18" t="str">
        <x:v>Feed visible</x:v>
      </x:c>
      <x:c r="N139" s="18" t="str"/>
    </x:row>
    <x:row r="140" ht="15" hidden="0" customHeight="1">
      <x:c r="A140" t="n">
        <x:v>139</x:v>
      </x:c>
      <x:c r="B140" s="18" t="str">
        <x:v>Ejercitador De Mano Y Brazo Pd2</x:v>
      </x:c>
      <x:c r="C140" s="18" t="str">
        <x:v>Deportes</x:v>
      </x:c>
      <x:c r="D140" s="18" t="str">
        <x:v>OH HOMIE</x:v>
      </x:c>
      <x:c r="E140" s="18" t="n">
        <x:v>249</x:v>
      </x:c>
      <x:c r="F140" s="28" t="n">
        <x:v>18000</x:v>
      </x:c>
      <x:c r="G140" s="28" t="n">
        <x:v>23000</x:v>
      </x:c>
      <x:c r="H140" s="28" t="n">
        <x:f>IF(OR(F140="",G140=""),"",G140-F140)</x:f>
        <x:v>5000</x:v>
      </x:c>
      <x:c r="I140" s="30" t="n">
        <x:f>IF(OR(F140="",G140="",G140=0),"",(G140-F140)/G140)</x:f>
        <x:v>0.21739130434782608</x:v>
      </x:c>
      <x:c r="J140" s="18" t="str">
        <x:v>Activo</x:v>
      </x:c>
      <x:c r="K140" s="18" t="str">
        <x:v>Exclusivo</x:v>
      </x:c>
      <x:c r="L140" s="18" t="str">
        <x:v>Bogotá</x:v>
      </x:c>
      <x:c r="M140" s="18" t="str">
        <x:v>Feed visible</x:v>
      </x:c>
      <x:c r="N140" s="18" t="str"/>
    </x:row>
    <x:row r="141" ht="15" hidden="0" customHeight="1">
      <x:c r="A141" t="n">
        <x:v>140</x:v>
      </x:c>
      <x:c r="B141" s="18" t="str">
        <x:v>Juegos De Dedos Electricas</x:v>
      </x:c>
      <x:c r="C141" s="18" t="str">
        <x:v>Otro</x:v>
      </x:c>
      <x:c r="D141" s="18" t="str">
        <x:v>OH HOMIE</x:v>
      </x:c>
      <x:c r="E141" s="18" t="n">
        <x:v>296</x:v>
      </x:c>
      <x:c r="F141" s="28" t="n">
        <x:v>23000</x:v>
      </x:c>
      <x:c r="G141" s="28" t="n">
        <x:v>43000</x:v>
      </x:c>
      <x:c r="H141" s="28" t="n">
        <x:f>IF(OR(F141="",G141=""),"",G141-F141)</x:f>
        <x:v>20000</x:v>
      </x:c>
      <x:c r="I141" s="30" t="n">
        <x:f>IF(OR(F141="",G141="",G141=0),"",(G141-F141)/G141)</x:f>
        <x:v>0.46511627906976744</x:v>
      </x:c>
      <x:c r="J141" s="18" t="str">
        <x:v>Activo</x:v>
      </x:c>
      <x:c r="K141" s="18" t="str">
        <x:v>Exclusivo</x:v>
      </x:c>
      <x:c r="L141" s="18" t="str">
        <x:v>Bogotá</x:v>
      </x:c>
      <x:c r="M141" s="18" t="str">
        <x:v>Feed visible</x:v>
      </x:c>
      <x:c r="N141" s="18" t="str"/>
    </x:row>
    <x:row r="142" ht="15" hidden="0" customHeight="1">
      <x:c r="A142" t="n">
        <x:v>141</x:v>
      </x:c>
      <x:c r="B142" s="18" t="str">
        <x:v>Filtro De Agua Para Grifo De Cocina</x:v>
      </x:c>
      <x:c r="C142" s="18" t="str">
        <x:v>Cocina</x:v>
      </x:c>
      <x:c r="D142" s="18" t="str">
        <x:v>OH HOMIE</x:v>
      </x:c>
      <x:c r="E142" s="18" t="n">
        <x:v>258</x:v>
      </x:c>
      <x:c r="F142" s="28" t="n">
        <x:v>19000</x:v>
      </x:c>
      <x:c r="G142" s="28" t="n">
        <x:v>27000</x:v>
      </x:c>
      <x:c r="H142" s="28" t="n">
        <x:f>IF(OR(F142="",G142=""),"",G142-F142)</x:f>
        <x:v>8000</x:v>
      </x:c>
      <x:c r="I142" s="30" t="n">
        <x:f>IF(OR(F142="",G142="",G142=0),"",(G142-F142)/G142)</x:f>
        <x:v>0.2962962962962963</x:v>
      </x:c>
      <x:c r="J142" s="18" t="str">
        <x:v>Activo</x:v>
      </x:c>
      <x:c r="K142" s="18" t="str">
        <x:v>Exclusivo</x:v>
      </x:c>
      <x:c r="L142" s="18" t="str">
        <x:v>Bogotá</x:v>
      </x:c>
      <x:c r="M142" s="18" t="str">
        <x:v>Feed visible</x:v>
      </x:c>
      <x:c r="N142" s="18" t="str"/>
    </x:row>
    <x:row r="143" ht="15" hidden="0" customHeight="1">
      <x:c r="A143" t="n">
        <x:v>142</x:v>
      </x:c>
      <x:c r="B143" s="18" t="str">
        <x:v>Organizador De Huevos 3 Niveles Plegable</x:v>
      </x:c>
      <x:c r="C143" s="18" t="str">
        <x:v>Cocina</x:v>
      </x:c>
      <x:c r="D143" s="18" t="str">
        <x:v>OH HOMIE</x:v>
      </x:c>
      <x:c r="E143" s="18" t="n">
        <x:v>200</x:v>
      </x:c>
      <x:c r="F143" s="28" t="n">
        <x:v>31000</x:v>
      </x:c>
      <x:c r="G143" s="28" t="n">
        <x:v>50000</x:v>
      </x:c>
      <x:c r="H143" s="28" t="n">
        <x:f>IF(OR(F143="",G143=""),"",G143-F143)</x:f>
        <x:v>19000</x:v>
      </x:c>
      <x:c r="I143" s="30" t="n">
        <x:f>IF(OR(F143="",G143="",G143=0),"",(G143-F143)/G143)</x:f>
        <x:v>0.38</x:v>
      </x:c>
      <x:c r="J143" s="18" t="str">
        <x:v>Activo</x:v>
      </x:c>
      <x:c r="K143" s="18" t="str">
        <x:v>Exclusivo</x:v>
      </x:c>
      <x:c r="L143" s="18" t="str">
        <x:v>Bogotá</x:v>
      </x:c>
      <x:c r="M143" s="18" t="str">
        <x:v>Feed visible</x:v>
      </x:c>
      <x:c r="N143" s="18" t="str"/>
    </x:row>
    <x:row r="144" ht="15" hidden="0" customHeight="1">
      <x:c r="A144" t="n">
        <x:v>143</x:v>
      </x:c>
      <x:c r="B144" s="18" t="str">
        <x:v>Conjunto 2 Piezas De Tira</x:v>
      </x:c>
      <x:c r="C144" s="18" t="str">
        <x:v>Ropa Deportiva</x:v>
      </x:c>
      <x:c r="D144" s="18" t="str">
        <x:v>OH HOMIE</x:v>
      </x:c>
      <x:c r="E144" s="18" t="n">
        <x:v>300</x:v>
      </x:c>
      <x:c r="F144" s="28" t="n">
        <x:v>22000</x:v>
      </x:c>
      <x:c r="G144" s="28" t="n">
        <x:v>36000</x:v>
      </x:c>
      <x:c r="H144" s="28" t="n">
        <x:f>IF(OR(F144="",G144=""),"",G144-F144)</x:f>
        <x:v>14000</x:v>
      </x:c>
      <x:c r="I144" s="30" t="n">
        <x:f>IF(OR(F144="",G144="",G144=0),"",(G144-F144)/G144)</x:f>
        <x:v>0.3888888888888889</x:v>
      </x:c>
      <x:c r="J144" s="18" t="str">
        <x:v>Activo</x:v>
      </x:c>
      <x:c r="K144" s="18" t="str">
        <x:v>Exclusivo / Variable</x:v>
      </x:c>
      <x:c r="L144" s="18" t="str">
        <x:v>Bogotá</x:v>
      </x:c>
      <x:c r="M144" s="18" t="str">
        <x:v>Feed visible</x:v>
      </x:c>
      <x:c r="N144" s="18" t="str"/>
    </x:row>
    <x:row r="145" ht="15" hidden="0" customHeight="1">
      <x:c r="A145" t="n">
        <x:v>144</x:v>
      </x:c>
      <x:c r="B145" s="18" t="str">
        <x:v>Tobillera</x:v>
      </x:c>
      <x:c r="C145" s="18" t="str">
        <x:v>Deportes</x:v>
      </x:c>
      <x:c r="D145" s="18" t="str">
        <x:v>OH HOMIE</x:v>
      </x:c>
      <x:c r="E145" s="18" t="n">
        <x:v>199</x:v>
      </x:c>
      <x:c r="F145" s="28" t="n">
        <x:v>17000</x:v>
      </x:c>
      <x:c r="G145" s="28" t="n">
        <x:v>47000</x:v>
      </x:c>
      <x:c r="H145" s="28" t="n">
        <x:f>IF(OR(F145="",G145=""),"",G145-F145)</x:f>
        <x:v>30000</x:v>
      </x:c>
      <x:c r="I145" s="30" t="n">
        <x:f>IF(OR(F145="",G145="",G145=0),"",(G145-F145)/G145)</x:f>
        <x:v>0.6382978723404256</x:v>
      </x:c>
      <x:c r="J145" s="18" t="str">
        <x:v>Activo</x:v>
      </x:c>
      <x:c r="K145" s="18" t="str">
        <x:v>Exclusivo</x:v>
      </x:c>
      <x:c r="L145" s="18" t="str">
        <x:v>Bogotá</x:v>
      </x:c>
      <x:c r="M145" s="18" t="str">
        <x:v>Feed visible</x:v>
      </x:c>
      <x:c r="N145" s="18" t="str"/>
    </x:row>
    <x:row r="146" ht="15" hidden="0" customHeight="1">
      <x:c r="A146" t="n">
        <x:v>145</x:v>
      </x:c>
      <x:c r="B146" s="18" t="str">
        <x:v>Grifo De Agua Caliente X008</x:v>
      </x:c>
      <x:c r="C146" s="18" t="str">
        <x:v>Hogar</x:v>
      </x:c>
      <x:c r="D146" s="18" t="str">
        <x:v>OH HOMIE</x:v>
      </x:c>
      <x:c r="E146" s="18" t="n">
        <x:v>249</x:v>
      </x:c>
      <x:c r="F146" s="28" t="n">
        <x:v>62000</x:v>
      </x:c>
      <x:c r="G146" s="28" t="n">
        <x:v>88000</x:v>
      </x:c>
      <x:c r="H146" s="28" t="n">
        <x:f>IF(OR(F146="",G146=""),"",G146-F146)</x:f>
        <x:v>26000</x:v>
      </x:c>
      <x:c r="I146" s="30" t="n">
        <x:f>IF(OR(F146="",G146="",G146=0),"",(G146-F146)/G146)</x:f>
        <x:v>0.29545454545454547</x:v>
      </x:c>
      <x:c r="J146" s="18" t="str">
        <x:v>Activo</x:v>
      </x:c>
      <x:c r="K146" s="18" t="str">
        <x:v>Exclusivo</x:v>
      </x:c>
      <x:c r="L146" s="18" t="str">
        <x:v>Bogotá</x:v>
      </x:c>
      <x:c r="M146" s="18" t="str">
        <x:v>Feed visible</x:v>
      </x:c>
      <x:c r="N146" s="18" t="str"/>
    </x:row>
    <x:row r="147" ht="15" hidden="0" customHeight="1">
      <x:c r="A147" t="n">
        <x:v>146</x:v>
      </x:c>
      <x:c r="B147" s="18" t="str">
        <x:v>Combo Termo De Acero Plancha Alisador</x:v>
      </x:c>
      <x:c r="C147" s="18" t="str">
        <x:v>Cocina</x:v>
      </x:c>
      <x:c r="D147" s="18" t="str">
        <x:v>OH HOMIE</x:v>
      </x:c>
      <x:c r="E147" s="18" t="n">
        <x:v>468</x:v>
      </x:c>
      <x:c r="F147" s="28" t="n">
        <x:v>35000</x:v>
      </x:c>
      <x:c r="G147" s="28" t="n">
        <x:v>55000</x:v>
      </x:c>
      <x:c r="H147" s="28" t="n">
        <x:f>IF(OR(F147="",G147=""),"",G147-F147)</x:f>
        <x:v>20000</x:v>
      </x:c>
      <x:c r="I147" s="30" t="n">
        <x:f>IF(OR(F147="",G147="",G147=0),"",(G147-F147)/G147)</x:f>
        <x:v>0.36363636363636365</x:v>
      </x:c>
      <x:c r="J147" s="18" t="str">
        <x:v>Activo</x:v>
      </x:c>
      <x:c r="K147" s="18" t="str">
        <x:v>Exclusivo / Variable</x:v>
      </x:c>
      <x:c r="L147" s="18" t="str">
        <x:v>Bogotá</x:v>
      </x:c>
      <x:c r="M147" s="18" t="str">
        <x:v>Feed visible</x:v>
      </x:c>
      <x:c r="N147" s="18" t="str"/>
    </x:row>
    <x:row r="148" ht="15" hidden="0" customHeight="1">
      <x:c r="A148" t="n">
        <x:v>147</x:v>
      </x:c>
      <x:c r="B148" s="18" t="str">
        <x:v>Pedalier Portatil Con Pantalla Digital</x:v>
      </x:c>
      <x:c r="C148" s="18" t="str">
        <x:v>Deportes</x:v>
      </x:c>
      <x:c r="D148" s="18" t="str">
        <x:v>OH HOMIE</x:v>
      </x:c>
      <x:c r="E148" s="18" t="n">
        <x:v>309</x:v>
      </x:c>
      <x:c r="F148" s="28" t="n">
        <x:v>93000</x:v>
      </x:c>
      <x:c r="G148" s="28" t="n">
        <x:v>126000</x:v>
      </x:c>
      <x:c r="H148" s="28" t="n">
        <x:f>IF(OR(F148="",G148=""),"",G148-F148)</x:f>
        <x:v>33000</x:v>
      </x:c>
      <x:c r="I148" s="30" t="n">
        <x:f>IF(OR(F148="",G148="",G148=0),"",(G148-F148)/G148)</x:f>
        <x:v>0.2619047619047619</x:v>
      </x:c>
      <x:c r="J148" s="18" t="str">
        <x:v>Activo</x:v>
      </x:c>
      <x:c r="K148" s="18" t="str">
        <x:v>Exclusivo</x:v>
      </x:c>
      <x:c r="L148" s="18" t="str">
        <x:v>Bogotá</x:v>
      </x:c>
      <x:c r="M148" s="18" t="str">
        <x:v>Feed visible</x:v>
      </x:c>
      <x:c r="N148" s="18" t="str"/>
    </x:row>
    <x:row r="149" ht="15" hidden="0" customHeight="1">
      <x:c r="A149" t="n">
        <x:v>148</x:v>
      </x:c>
      <x:c r="B149" s="18" t="str">
        <x:v>Delineador Pestañas Magnetico</x:v>
      </x:c>
      <x:c r="C149" s="18" t="str">
        <x:v>Moda</x:v>
      </x:c>
      <x:c r="D149" s="18" t="str">
        <x:v>OH HOMIE</x:v>
      </x:c>
      <x:c r="E149" s="18" t="n">
        <x:v>295</x:v>
      </x:c>
      <x:c r="F149" s="28" t="n">
        <x:v>20000</x:v>
      </x:c>
      <x:c r="G149" s="28" t="n">
        <x:v>40000</x:v>
      </x:c>
      <x:c r="H149" s="28" t="n">
        <x:f>IF(OR(F149="",G149=""),"",G149-F149)</x:f>
        <x:v>20000</x:v>
      </x:c>
      <x:c r="I149" s="30" t="n">
        <x:f>IF(OR(F149="",G149="",G149=0),"",(G149-F149)/G149)</x:f>
        <x:v>0.5</x:v>
      </x:c>
      <x:c r="J149" s="18" t="str">
        <x:v>Activo</x:v>
      </x:c>
      <x:c r="K149" s="18" t="str">
        <x:v>Exclusivo</x:v>
      </x:c>
      <x:c r="L149" s="18" t="str">
        <x:v>Bogotá</x:v>
      </x:c>
      <x:c r="M149" s="18" t="str">
        <x:v>Feed visible</x:v>
      </x:c>
      <x:c r="N149" s="18" t="str"/>
    </x:row>
    <x:row r="150" ht="15" hidden="0" customHeight="1">
      <x:c r="A150" t="n">
        <x:v>149</x:v>
      </x:c>
      <x:c r="B150" s="18" t="str">
        <x:v>Mini Ventilador De Escritorio Con Luz Led</x:v>
      </x:c>
      <x:c r="C150" s="18" t="str">
        <x:v>Tecnología</x:v>
      </x:c>
      <x:c r="D150" s="18" t="str">
        <x:v>OH HOMIE</x:v>
      </x:c>
      <x:c r="E150" s="18" t="n">
        <x:v>300</x:v>
      </x:c>
      <x:c r="F150" s="28" t="n">
        <x:v>28750</x:v>
      </x:c>
      <x:c r="G150" s="28" t="n">
        <x:v>48000</x:v>
      </x:c>
      <x:c r="H150" s="28" t="n">
        <x:f>IF(OR(F150="",G150=""),"",G150-F150)</x:f>
        <x:v>19250</x:v>
      </x:c>
      <x:c r="I150" s="30" t="n">
        <x:f>IF(OR(F150="",G150="",G150=0),"",(G150-F150)/G150)</x:f>
        <x:v>0.4010416666666667</x:v>
      </x:c>
      <x:c r="J150" s="18" t="str">
        <x:v>Activo</x:v>
      </x:c>
      <x:c r="K150" s="18" t="str">
        <x:v>Exclusivo</x:v>
      </x:c>
      <x:c r="L150" s="18" t="str">
        <x:v>Bogotá</x:v>
      </x:c>
      <x:c r="M150" s="18" t="str">
        <x:v>Feed visible</x:v>
      </x:c>
      <x:c r="N150" s="18" t="str"/>
    </x:row>
    <x:row r="151" ht="15" hidden="0" customHeight="1">
      <x:c r="A151" t="n">
        <x:v>150</x:v>
      </x:c>
      <x:c r="B151" s="18" t="str">
        <x:v>Pijama Moto Unica</x:v>
      </x:c>
      <x:c r="C151" s="18" t="str">
        <x:v>Vehículos</x:v>
      </x:c>
      <x:c r="D151" s="18" t="str">
        <x:v>OH HOMIE</x:v>
      </x:c>
      <x:c r="E151" s="18" t="n">
        <x:v>489</x:v>
      </x:c>
      <x:c r="F151" s="28" t="n">
        <x:v>20000</x:v>
      </x:c>
      <x:c r="G151" s="28" t="n">
        <x:v>30000</x:v>
      </x:c>
      <x:c r="H151" s="28" t="n">
        <x:f>IF(OR(F151="",G151=""),"",G151-F151)</x:f>
        <x:v>10000</x:v>
      </x:c>
      <x:c r="I151" s="30" t="n">
        <x:f>IF(OR(F151="",G151="",G151=0),"",(G151-F151)/G151)</x:f>
        <x:v>0.3333333333333333</x:v>
      </x:c>
      <x:c r="J151" s="18" t="str">
        <x:v>Activo</x:v>
      </x:c>
      <x:c r="K151" s="18" t="str">
        <x:v>Exclusivo</x:v>
      </x:c>
      <x:c r="L151" s="18" t="str">
        <x:v>Bogotá</x:v>
      </x:c>
      <x:c r="M151" s="18" t="str">
        <x:v>Feed visible</x:v>
      </x:c>
      <x:c r="N151" s="18" t="str"/>
    </x:row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I2:I15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2:E151">
    <x:cfRule type="dataBar" priority="2">
      <x:dataBar>
        <x:cfvo type="min"/>
        <x:cfvo type="max"/>
        <x:color rgb="FF7A00"/>
      </x:dataBar>
      <x:extLst>
        <x:ext xmlns:x14="http://schemas.microsoft.com/office/spreadsheetml/2009/9/main" uri="{B025F937-C7B1-47D3-B67F-A62EFF666E3E}">
          <x14:id>{238013C0-2D02-08C7-2C1D-F5D0DF5126A8}</x14:id>
        </x:ext>
      </x:extLst>
    </x:cfRule>
  </x:conditionalFormatting>
  <x:dataValidations count="1">
    <x:dataValidation type="list" sqref="J2:J151">
      <x:formula1>"Activo,Agotado,Pendiente,No visible"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2c54c78f5e41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38013C0-2D02-08C7-2C1D-F5D0DF5126A8}">
            <x14:dataBar gradient="1">
              <x14:cfvo type="min"/>
              <x14:cfvo type="max"/>
              <x14:fillColor rgb="FF7A00"/>
            </x14:dataBar>
          </x14:cfRule>
          <xm:sqref>E2:E151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5" hidden="0" customWidth="1"/>
  </x:cols>
  <x:sheetData>
    <x:row r="1" ht="36" hidden="0" customHeight="1">
      <x:c r="A1" s="61" t="str">
        <x:v>ID captura</x:v>
      </x:c>
      <x:c r="B1" s="61" t="str">
        <x:v>Producto</x:v>
      </x:c>
      <x:c r="C1" s="61" t="str">
        <x:v>ID producto</x:v>
      </x:c>
      <x:c r="D1" s="61" t="str">
        <x:v>SKU</x:v>
      </x:c>
      <x:c r="E1" s="61" t="str">
        <x:v>Categoría(s)</x:v>
      </x:c>
      <x:c r="F1" s="61" t="str">
        <x:v>Tipo producto</x:v>
      </x:c>
      <x:c r="G1" s="61" t="str">
        <x:v>Bodega</x:v>
      </x:c>
      <x:c r="H1" s="61" t="str">
        <x:v>Stock visible</x:v>
      </x:c>
      <x:c r="I1" s="61" t="str">
        <x:v>Stock privado</x:v>
      </x:c>
      <x:c r="J1" s="61" t="str">
        <x:v>Precio proveedor</x:v>
      </x:c>
      <x:c r="K1" s="61" t="str">
        <x:v>Precio sugerido</x:v>
      </x:c>
      <x:c r="L1" s="61" t="str">
        <x:v>Margen valor</x:v>
      </x:c>
      <x:c r="M1" s="61" t="str">
        <x:v>Margen %</x:v>
      </x:c>
      <x:c r="N1" s="61" t="str">
        <x:v># imágenes visibles</x:v>
      </x:c>
      <x:c r="O1" s="61" t="str">
        <x:v>Descripción visible</x:v>
      </x:c>
      <x:c r="P1" s="61" t="str">
        <x:v>Descripción supera screenshot</x:v>
      </x:c>
      <x:c r="Q1" s="61" t="str">
        <x:v>Contenido / calidad</x:v>
      </x:c>
      <x:c r="R1" s="61" t="str">
        <x:v>Garantía / política visible</x:v>
      </x:c>
      <x:c r="S1" s="61" t="str">
        <x:v>Recursos adicionales visibles</x:v>
      </x:c>
      <x:c r="T1" s="61" t="str">
        <x:v>Notas crudas</x:v>
      </x:c>
    </x:row>
    <x:row r="2" ht="54" hidden="0" customHeight="1">
      <x:c r="A2" s="45" t="str">
        <x:v>OH-DET-001</x:v>
      </x:c>
      <x:c r="B2" s="45" t="str">
        <x:v>Lote De Cables Variados En Oferta</x:v>
      </x:c>
      <x:c r="C2" s="45" t="str">
        <x:v>1908047</x:v>
      </x:c>
      <x:c r="D2" s="45" t="str">
        <x:v>RH0044</x:v>
      </x:c>
      <x:c r="E2" s="45" t="str">
        <x:v>Tecnología; Otro</x:v>
      </x:c>
      <x:c r="F2" s="45" t="str">
        <x:v>Simple</x:v>
      </x:c>
      <x:c r="G2" s="45" t="str">
        <x:v>Bogotá</x:v>
      </x:c>
      <x:c r="H2" s="46" t="n">
        <x:v>300</x:v>
      </x:c>
      <x:c r="I2" s="46" t="n">
        <x:v>0</x:v>
      </x:c>
      <x:c r="J2" s="47" t="n">
        <x:v>15000</x:v>
      </x:c>
      <x:c r="K2" s="47" t="n">
        <x:v>30000</x:v>
      </x:c>
      <x:c r="L2" s="47" t="n">
        <x:v>15000</x:v>
      </x:c>
      <x:c r="M2" s="48" t="n">
        <x:v>1</x:v>
      </x:c>
      <x:c r="N2" s="46" t="n">
        <x:v>3</x:v>
      </x:c>
      <x:c r="O2" s="45" t="str">
        <x:v>Sí</x:v>
      </x:c>
      <x:c r="P2" s="45" t="str">
        <x:v>No</x:v>
      </x:c>
      <x:c r="Q2" s="45" t="str">
        <x:v>Medio</x:v>
      </x:c>
      <x:c r="R2" s="45" t="str">
        <x:v>No visible</x:v>
      </x:c>
      <x:c r="S2" s="45" t="str">
        <x:v>No visible</x:v>
      </x:c>
      <x:c r="T2" s="45" t="str">
        <x:v>Descripción visible: paquete de cables USB, HDMI, RCA, jack 3.5 mm, cables de datos/carga/audio para electrónica, consolas y computadoras. Texto comercial corto: 'Perfecto para técnicos, oficinas o tener siempre a mano'.</x:v>
      </x:c>
    </x:row>
    <x:row r="3" ht="54" hidden="0" customHeight="1">
      <x:c r="A3" s="49" t="str">
        <x:v>OH-DET-002</x:v>
      </x:c>
      <x:c r="B3" s="49" t="str">
        <x:v>Estante De Zapatos 10 Niveles Eco</x:v>
      </x:c>
      <x:c r="C3" s="49" t="str">
        <x:v>600041</x:v>
      </x:c>
      <x:c r="D3" s="49" t="str">
        <x:v>RH0952</x:v>
      </x:c>
      <x:c r="E3" s="49" t="str">
        <x:v>Hogar; Otro; Herramientas</x:v>
      </x:c>
      <x:c r="F3" s="49" t="str">
        <x:v>Simple</x:v>
      </x:c>
      <x:c r="G3" s="49" t="str">
        <x:v>Bogotá</x:v>
      </x:c>
      <x:c r="H3" s="50" t="n">
        <x:v>294</x:v>
      </x:c>
      <x:c r="I3" s="50" t="n">
        <x:v>0</x:v>
      </x:c>
      <x:c r="J3" s="51" t="n">
        <x:v>23000</x:v>
      </x:c>
      <x:c r="K3" s="51" t="n">
        <x:v>55000</x:v>
      </x:c>
      <x:c r="L3" s="51" t="n">
        <x:v>32000</x:v>
      </x:c>
      <x:c r="M3" s="52" t="n">
        <x:v>1.391304347826087</x:v>
      </x:c>
      <x:c r="N3" s="50" t="n">
        <x:v>4</x:v>
      </x:c>
      <x:c r="O3" s="49" t="str">
        <x:v>Sí</x:v>
      </x:c>
      <x:c r="P3" s="49" t="str">
        <x:v>No</x:v>
      </x:c>
      <x:c r="Q3" s="49" t="str">
        <x:v>Bueno</x:v>
      </x:c>
      <x:c r="R3" s="49" t="str">
        <x:v>No visible</x:v>
      </x:c>
      <x:c r="S3" s="49" t="str">
        <x:v>No visible</x:v>
      </x:c>
      <x:c r="T3" s="49" t="str">
        <x:v>Descripción visible extensa dentro del pantallazo: organizador de calzado / estante de zapatos, 10 niveles, material plástico y varillas metálicas. Incluye características, capacidad por nivel y elementos incluidos.</x:v>
      </x:c>
    </x:row>
    <x:row r="4" ht="54" hidden="0" customHeight="1">
      <x:c r="A4" s="45" t="str">
        <x:v>OH-DET-003</x:v>
      </x:c>
      <x:c r="B4" s="45" t="str">
        <x:v>Ventilador Recargable</x:v>
      </x:c>
      <x:c r="C4" s="45" t="str">
        <x:v>1597820</x:v>
      </x:c>
      <x:c r="D4" s="45" t="str">
        <x:v>RH00148</x:v>
      </x:c>
      <x:c r="E4" s="45" t="str">
        <x:v>Otro</x:v>
      </x:c>
      <x:c r="F4" s="45" t="str">
        <x:v>Simple</x:v>
      </x:c>
      <x:c r="G4" s="45" t="str">
        <x:v>Bogotá</x:v>
      </x:c>
      <x:c r="H4" s="46" t="n">
        <x:v>100</x:v>
      </x:c>
      <x:c r="I4" s="46" t="n">
        <x:v>0</x:v>
      </x:c>
      <x:c r="J4" s="47" t="n">
        <x:v>23000</x:v>
      </x:c>
      <x:c r="K4" s="47" t="n">
        <x:v>30000</x:v>
      </x:c>
      <x:c r="L4" s="47" t="n">
        <x:v>7000</x:v>
      </x:c>
      <x:c r="M4" s="48" t="n">
        <x:v>0.30434782608695654</x:v>
      </x:c>
      <x:c r="N4" s="46" t="n">
        <x:v>3</x:v>
      </x:c>
      <x:c r="O4" s="45" t="str">
        <x:v>Sí</x:v>
      </x:c>
      <x:c r="P4" s="45" t="str">
        <x:v>No</x:v>
      </x:c>
      <x:c r="Q4" s="45" t="str">
        <x:v>Medio</x:v>
      </x:c>
      <x:c r="R4" s="45" t="str">
        <x:v>No visible</x:v>
      </x:c>
      <x:c r="S4" s="45" t="str">
        <x:v>No visible</x:v>
      </x:c>
      <x:c r="T4" s="45" t="str">
        <x:v>Descripción visible: ventilador recargable portátil, batería de larga duración, diseño compacto, varias velocidades de ventilación. Texto corto/medio, sin ficha técnica profunda.</x:v>
      </x:c>
    </x:row>
    <x:row r="5" ht="54" hidden="0" customHeight="1">
      <x:c r="A5" s="49" t="str">
        <x:v>OH-DET-004</x:v>
      </x:c>
      <x:c r="B5" s="49" t="str">
        <x:v>Masajeador Cuello X3</x:v>
      </x:c>
      <x:c r="C5" s="49" t="str">
        <x:v>820070</x:v>
      </x:c>
      <x:c r="D5" s="49" t="str">
        <x:v>RH0010</x:v>
      </x:c>
      <x:c r="E5" s="49" t="str">
        <x:v>Tecnología; Belleza; Salud</x:v>
      </x:c>
      <x:c r="F5" s="49" t="str">
        <x:v>Simple</x:v>
      </x:c>
      <x:c r="G5" s="49" t="str">
        <x:v>Bogotá</x:v>
      </x:c>
      <x:c r="H5" s="50" t="n">
        <x:v>662</x:v>
      </x:c>
      <x:c r="I5" s="50" t="n">
        <x:v>0</x:v>
      </x:c>
      <x:c r="J5" s="51" t="n">
        <x:v>21000</x:v>
      </x:c>
      <x:c r="K5" s="51" t="n">
        <x:v>32000</x:v>
      </x:c>
      <x:c r="L5" s="51" t="n">
        <x:v>11000</x:v>
      </x:c>
      <x:c r="M5" s="52" t="n">
        <x:v>0.5238095238095238</x:v>
      </x:c>
      <x:c r="N5" s="50" t="n">
        <x:v>4</x:v>
      </x:c>
      <x:c r="O5" s="49" t="str">
        <x:v>Sí</x:v>
      </x:c>
      <x:c r="P5" s="49" t="str">
        <x:v>No</x:v>
      </x:c>
      <x:c r="Q5" s="49" t="str">
        <x:v>Bueno</x:v>
      </x:c>
      <x:c r="R5" s="49" t="str">
        <x:v>Sí, en descripción</x:v>
      </x:c>
      <x:c r="S5" s="49" t="str">
        <x:v>No visible</x:v>
      </x:c>
      <x:c r="T5" s="49" t="str">
        <x:v>Descripción visible amplia: masajeador ligero y portátil para cuello, espalda y otras zonas; modos de masaje, niveles de intensidad, circulación sanguínea, alivio muscular. Incluye garantía de 15 días por defecto de fabricación, no cubre mala manipulación.</x:v>
      </x:c>
    </x:row>
    <x:row r="6" ht="54" hidden="0" customHeight="1">
      <x:c r="A6" s="45" t="str">
        <x:v>OH-DET-005</x:v>
      </x:c>
      <x:c r="B6" s="45" t="str">
        <x:v>Camara Kids Con Impresora M2</x:v>
      </x:c>
      <x:c r="C6" s="45" t="str">
        <x:v>1862299</x:v>
      </x:c>
      <x:c r="D6" s="45" t="str">
        <x:v>RH01157</x:v>
      </x:c>
      <x:c r="E6" s="45" t="str">
        <x:v>Tecnología; Otro; Juguetería</x:v>
      </x:c>
      <x:c r="F6" s="45" t="str">
        <x:v>Simple</x:v>
      </x:c>
      <x:c r="G6" s="45" t="str">
        <x:v>Bogotá</x:v>
      </x:c>
      <x:c r="H6" s="46" t="n">
        <x:v>300</x:v>
      </x:c>
      <x:c r="I6" s="46" t="n">
        <x:v>0</x:v>
      </x:c>
      <x:c r="J6" s="47" t="n">
        <x:v>105000</x:v>
      </x:c>
      <x:c r="K6" s="47" t="n">
        <x:v>140000</x:v>
      </x:c>
      <x:c r="L6" s="47" t="n">
        <x:v>35000</x:v>
      </x:c>
      <x:c r="M6" s="48" t="n">
        <x:v>0.25</x:v>
      </x:c>
      <x:c r="N6" s="46" t="n">
        <x:v>3</x:v>
      </x:c>
      <x:c r="O6" s="45" t="str">
        <x:v>Sí</x:v>
      </x:c>
      <x:c r="P6" s="45" t="str">
        <x:v>Sí</x:v>
      </x:c>
      <x:c r="Q6" s="45" t="str">
        <x:v>Bueno</x:v>
      </x:c>
      <x:c r="R6" s="45" t="str">
        <x:v>No visible</x:v>
      </x:c>
      <x:c r="S6" s="45" t="str">
        <x:v>No visible</x:v>
      </x:c>
      <x:c r="T6" s="45" t="str">
        <x:v>Descripción visible extensa: cámara instantánea para niños con impresión, certificación CE, origen China continental, género unisex, pantalla LCD 2.4 pulgadas, batería 1200mAh, carga 2-3h, uso aproximado 4h, resolución de foto/video, memoria TF y funciones de fotografía/video/filtros. El texto continúa por debajo del pantallazo.</x:v>
      </x:c>
    </x:row>
    <x:row r="7" ht="54" hidden="0" customHeight="1">
      <x:c r="A7" s="49" t="str">
        <x:v>OH-DET-006</x:v>
      </x:c>
      <x:c r="B7" s="49" t="str">
        <x:v>Lampara Led Angel</x:v>
      </x:c>
      <x:c r="C7" s="49" t="str">
        <x:v>1969471</x:v>
      </x:c>
      <x:c r="D7" s="49" t="str">
        <x:v>RH0054</x:v>
      </x:c>
      <x:c r="E7" s="49" t="str">
        <x:v>Hogar; Otro; Juguetería</x:v>
      </x:c>
      <x:c r="F7" s="49" t="str">
        <x:v>Simple</x:v>
      </x:c>
      <x:c r="G7" s="49" t="str">
        <x:v>Bogotá</x:v>
      </x:c>
      <x:c r="H7" s="50" t="n">
        <x:v>300</x:v>
      </x:c>
      <x:c r="I7" s="50" t="n">
        <x:v>0</x:v>
      </x:c>
      <x:c r="J7" s="51" t="n">
        <x:v>43750</x:v>
      </x:c>
      <x:c r="K7" s="51" t="n">
        <x:v>63000</x:v>
      </x:c>
      <x:c r="L7" s="51" t="n">
        <x:v>19250</x:v>
      </x:c>
      <x:c r="M7" s="52" t="n">
        <x:v>0.3055555555555556</x:v>
      </x:c>
      <x:c r="N7" s="50" t="n">
        <x:v>4</x:v>
      </x:c>
      <x:c r="O7" s="49" t="str">
        <x:v>Sí</x:v>
      </x:c>
      <x:c r="P7" s="49" t="str">
        <x:v>No</x:v>
      </x:c>
      <x:c r="Q7" s="49" t="str">
        <x:v>Medio</x:v>
      </x:c>
      <x:c r="R7" s="49" t="str">
        <x:v>No visible</x:v>
      </x:c>
      <x:c r="S7" s="49" t="str">
        <x:v>No visible</x:v>
      </x:c>
      <x:c r="T7" s="49" t="str">
        <x:v>Descripción visible: lámpara LED en forma de ángel para ambientación cálida. Menciona diseño angelical, luz LED suave y eficiente, funcionamiento con baterías/enchufe especial, colores disponibles si los hay y uso para habitación infantil, mesa de noche, sala, altar o meditación.</x:v>
      </x:c>
    </x:row>
    <x:row r="8" ht="54" hidden="0" customHeight="1">
      <x:c r="A8" s="45" t="str">
        <x:v>OH-DET-007</x:v>
      </x:c>
      <x:c r="B8" s="45" t="str">
        <x:v>Portabebes Ergonomico</x:v>
      </x:c>
      <x:c r="C8" s="45" t="str">
        <x:v>2161791</x:v>
      </x:c>
      <x:c r="D8" s="45" t="str">
        <x:v>RH0180</x:v>
      </x:c>
      <x:c r="E8" s="45" t="str">
        <x:v>Hogar; Bebé</x:v>
      </x:c>
      <x:c r="F8" s="45" t="str">
        <x:v>Simple</x:v>
      </x:c>
      <x:c r="G8" s="45" t="str">
        <x:v>Bogotá</x:v>
      </x:c>
      <x:c r="H8" s="46" t="n">
        <x:v>150</x:v>
      </x:c>
      <x:c r="I8" s="46" t="n">
        <x:v>0</x:v>
      </x:c>
      <x:c r="J8" s="47" t="n">
        <x:v>75000</x:v>
      </x:c>
      <x:c r="K8" s="47" t="n">
        <x:v>90000</x:v>
      </x:c>
      <x:c r="L8" s="47" t="n">
        <x:v>15000</x:v>
      </x:c>
      <x:c r="M8" s="48" t="n">
        <x:v>0.16666666666666666</x:v>
      </x:c>
      <x:c r="N8" s="46" t="n">
        <x:v>3</x:v>
      </x:c>
      <x:c r="O8" s="45" t="str">
        <x:v>Sí</x:v>
      </x:c>
      <x:c r="P8" s="45" t="str">
        <x:v>No</x:v>
      </x:c>
      <x:c r="Q8" s="45" t="str">
        <x:v>Bueno</x:v>
      </x:c>
      <x:c r="R8" s="45" t="str">
        <x:v>No visible</x:v>
      </x:c>
      <x:c r="S8" s="45" t="str">
        <x:v>No visible</x:v>
      </x:c>
      <x:c r="T8" s="45" t="str">
        <x:v>Descripción visible amplia: portabebés para recién nacidos a niños pequeños, rango 0 a 36 meses y 7 a 45 libras. Detalla diseño ergonómico tipo M, distribución de peso, ajuste de hombros/cintura y material transpirable con algodón y malla 3D.</x:v>
      </x:c>
    </x:row>
    <x:row r="9" ht="54" hidden="0" customHeight="1">
      <x:c r="A9" s="49" t="str">
        <x:v>OH-DET-008</x:v>
      </x:c>
      <x:c r="B9" s="49" t="str">
        <x:v>Espejo con Luz Led</x:v>
      </x:c>
      <x:c r="C9" s="49" t="str">
        <x:v>1613840</x:v>
      </x:c>
      <x:c r="D9" s="49" t="str">
        <x:v>RH0849</x:v>
      </x:c>
      <x:c r="E9" s="49" t="str">
        <x:v>Belleza</x:v>
      </x:c>
      <x:c r="F9" s="49" t="str">
        <x:v>Simple</x:v>
      </x:c>
      <x:c r="G9" s="49" t="str">
        <x:v>Bogotá</x:v>
      </x:c>
      <x:c r="H9" s="50" t="n">
        <x:v>199</x:v>
      </x:c>
      <x:c r="I9" s="50" t="n">
        <x:v>0</x:v>
      </x:c>
      <x:c r="J9" s="51" t="n">
        <x:v>22000</x:v>
      </x:c>
      <x:c r="K9" s="51" t="n">
        <x:v>30000</x:v>
      </x:c>
      <x:c r="L9" s="51" t="n">
        <x:v>8000</x:v>
      </x:c>
      <x:c r="M9" s="52" t="n">
        <x:v>0.26666666666666666</x:v>
      </x:c>
      <x:c r="N9" s="50" t="n">
        <x:v>5</x:v>
      </x:c>
      <x:c r="O9" s="49" t="str">
        <x:v>Sí</x:v>
      </x:c>
      <x:c r="P9" s="49" t="str">
        <x:v>No</x:v>
      </x:c>
      <x:c r="Q9" s="49" t="str">
        <x:v>Bueno</x:v>
      </x:c>
      <x:c r="R9" s="49" t="str">
        <x:v>No visible</x:v>
      </x:c>
      <x:c r="S9" s="49" t="str">
        <x:v>No visible</x:v>
      </x:c>
      <x:c r="T9" s="49" t="str">
        <x:v>Descripción visible: espejo con luz LED para maquillaje, cuidado personal o afeitado. Menciona iluminación precisa y calidad, diseño moderno/minimalista, luz clara sin sombras, función ajustable y posibilidad de ajustar temperatura/color para personalizar la rutina.</x:v>
      </x:c>
    </x:row>
    <x:row r="10" ht="54" hidden="0" customHeight="1">
      <x:c r="A10" s="53" t="str">
        <x:v>OH-DET-009</x:v>
      </x:c>
      <x:c r="B10" s="53" t="str">
        <x:v>Maquina De Ejercicios Multifuncional</x:v>
      </x:c>
      <x:c r="C10" s="53" t="str">
        <x:v>1906805</x:v>
      </x:c>
      <x:c r="D10" s="53" t="str">
        <x:v>RH00483</x:v>
      </x:c>
      <x:c r="E10" s="53" t="str">
        <x:v>Deportes; Otro</x:v>
      </x:c>
      <x:c r="F10" s="53" t="str">
        <x:v>Simple</x:v>
      </x:c>
      <x:c r="G10" s="53" t="str">
        <x:v>Bogotá</x:v>
      </x:c>
      <x:c r="H10" s="54" t="n">
        <x:v>298</x:v>
      </x:c>
      <x:c r="I10" s="54" t="n">
        <x:v>0</x:v>
      </x:c>
      <x:c r="J10" s="55" t="n">
        <x:v>112500</x:v>
      </x:c>
      <x:c r="K10" s="55" t="n">
        <x:v>130000</x:v>
      </x:c>
      <x:c r="L10" s="55" t="n">
        <x:v>17500</x:v>
      </x:c>
      <x:c r="M10" s="56" t="n">
        <x:v>0.15555555555555556</x:v>
      </x:c>
      <x:c r="N10" s="54" t="n">
        <x:v>4</x:v>
      </x:c>
      <x:c r="O10" s="53" t="str">
        <x:v>Sí</x:v>
      </x:c>
      <x:c r="P10" s="53" t="str">
        <x:v>No</x:v>
      </x:c>
      <x:c r="Q10" s="53" t="str">
        <x:v>Bueno</x:v>
      </x:c>
      <x:c r="R10" s="53" t="str">
        <x:v>No visible</x:v>
      </x:c>
      <x:c r="S10" s="53" t="str">
        <x:v>No visible</x:v>
      </x:c>
      <x:c r="T10" s="53" t="str">
        <x:v>Descripción visible: máquina de ejercicios multifuncional para trabajar abdomen, piernas, brazos y glúteos. Se menciona diseño compacto y versátil, resistencia ajustable, uso cómodo/eficiente y color negro.</x:v>
      </x:c>
    </x:row>
    <x:row r="11" ht="54" hidden="0" customHeight="1">
      <x:c r="A11" s="53" t="str">
        <x:v>OH-DET-010</x:v>
      </x:c>
      <x:c r="B11" s="53" t="str">
        <x:v>Combo Reloj T500 Canguroaudifonos M10</x:v>
      </x:c>
      <x:c r="C11" s="53" t="str">
        <x:v>2098972</x:v>
      </x:c>
      <x:c r="D11" s="53" t="str">
        <x:v>RH01425</x:v>
      </x:c>
      <x:c r="E11" s="53" t="str">
        <x:v>Ropa Deportiva; Moda; Otro</x:v>
      </x:c>
      <x:c r="F11" s="53" t="str">
        <x:v>Variable</x:v>
      </x:c>
      <x:c r="G11" s="53" t="str">
        <x:v>Bogotá</x:v>
      </x:c>
      <x:c r="H11" s="54" t="n">
        <x:v>1162</x:v>
      </x:c>
      <x:c r="I11" s="54" t="n">
        <x:v>0</x:v>
      </x:c>
      <x:c r="J11" s="55" t="n">
        <x:v>58000</x:v>
      </x:c>
      <x:c r="K11" s="55" t="n">
        <x:v>73000</x:v>
      </x:c>
      <x:c r="L11" s="55" t="n">
        <x:v>15000</x:v>
      </x:c>
      <x:c r="M11" s="56" t="n">
        <x:v>0.25862068965517243</x:v>
      </x:c>
      <x:c r="N11" s="54" t="n">
        <x:v>3</x:v>
      </x:c>
      <x:c r="O11" s="53" t="str">
        <x:v>Sí</x:v>
      </x:c>
      <x:c r="P11" s="53" t="str">
        <x:v>No</x:v>
      </x:c>
      <x:c r="Q11" s="53" t="str">
        <x:v>Bueno</x:v>
      </x:c>
      <x:c r="R11" s="53" t="str">
        <x:v>No visible</x:v>
      </x:c>
      <x:c r="S11" s="53" t="str">
        <x:v>No visible</x:v>
      </x:c>
      <x:c r="T11" s="53" t="str">
        <x:v>Producto variable con 4 variantes visibles: Negro, Azul/café, Gris/café y Negro/café. Descripción visible: combo de reloj inteligente táctil, bolso/canguro y audífonos M10; menciona funciones del reloj, conectividad Bluetooth, reducción de ruido y diseño ergonómico de audífonos.</x:v>
      </x:c>
    </x:row>
    <x:row r="12" ht="54" hidden="0" customHeight="1">
      <x:c r="A12" s="53" t="str">
        <x:v>OH-DET-011</x:v>
      </x:c>
      <x:c r="B12" s="53" t="str">
        <x:v>Lampara Solar Cl 115</x:v>
      </x:c>
      <x:c r="C12" s="53" t="str">
        <x:v>1731346</x:v>
      </x:c>
      <x:c r="D12" s="53" t="str">
        <x:v>RH01384</x:v>
      </x:c>
      <x:c r="E12" s="53" t="str">
        <x:v>Hogar</x:v>
      </x:c>
      <x:c r="F12" s="53" t="str">
        <x:v>Simple</x:v>
      </x:c>
      <x:c r="G12" s="53" t="str">
        <x:v>Bogotá</x:v>
      </x:c>
      <x:c r="H12" s="54" t="n">
        <x:v>40</x:v>
      </x:c>
      <x:c r="I12" s="54" t="n">
        <x:v>0</x:v>
      </x:c>
      <x:c r="J12" s="55" t="n">
        <x:v>55000</x:v>
      </x:c>
      <x:c r="K12" s="55" t="n">
        <x:v>85000</x:v>
      </x:c>
      <x:c r="L12" s="55" t="n">
        <x:v>30000</x:v>
      </x:c>
      <x:c r="M12" s="56" t="n">
        <x:v>0.5454545454545454</x:v>
      </x:c>
      <x:c r="N12" s="54" t="n">
        <x:v>3</x:v>
      </x:c>
      <x:c r="O12" s="53" t="str">
        <x:v>Sí</x:v>
      </x:c>
      <x:c r="P12" s="53" t="str">
        <x:v>No</x:v>
      </x:c>
      <x:c r="Q12" s="53" t="str">
        <x:v>Bueno</x:v>
      </x:c>
      <x:c r="R12" s="53" t="str">
        <x:v>No visible</x:v>
      </x:c>
      <x:c r="S12" s="53" t="str">
        <x:v>No visible</x:v>
      </x:c>
      <x:c r="T12" s="53" t="str">
        <x:v>Descripción visible: lámpara solar CL-115 para exteriores, iluminación nocturna sin cables, sensor de movimiento, instalación sencilla, panel solar con lámpara reflectora, control remoto incluido y promesa de ahorro/energía limpia.</x:v>
      </x:c>
    </x:row>
    <x:row r="13" ht="54" hidden="0" customHeight="1">
      <x:c r="A13" s="53" t="str">
        <x:v>OH-DET-012</x:v>
      </x:c>
      <x:c r="B13" s="53" t="str">
        <x:v>Organizador De Maquillaje Con Cajon</x:v>
      </x:c>
      <x:c r="C13" s="53" t="str">
        <x:v>2029315</x:v>
      </x:c>
      <x:c r="D13" s="53" t="str">
        <x:v>7535</x:v>
      </x:c>
      <x:c r="E13" s="53" t="str">
        <x:v>Hogar; Otro</x:v>
      </x:c>
      <x:c r="F13" s="53" t="str">
        <x:v>Simple</x:v>
      </x:c>
      <x:c r="G13" s="53" t="str">
        <x:v>Bogotá</x:v>
      </x:c>
      <x:c r="H13" s="54" t="n">
        <x:v>298</x:v>
      </x:c>
      <x:c r="I13" s="54" t="n">
        <x:v>0</x:v>
      </x:c>
      <x:c r="J13" s="55" t="n">
        <x:v>23750</x:v>
      </x:c>
      <x:c r="K13" s="55" t="n">
        <x:v>36500</x:v>
      </x:c>
      <x:c r="L13" s="55" t="n">
        <x:v>12750</x:v>
      </x:c>
      <x:c r="M13" s="56" t="n">
        <x:v>0.5368421052631579</x:v>
      </x:c>
      <x:c r="N13" s="54" t="n">
        <x:v>3</x:v>
      </x:c>
      <x:c r="O13" s="53" t="str">
        <x:v>Sí</x:v>
      </x:c>
      <x:c r="P13" s="53" t="str">
        <x:v>No</x:v>
      </x:c>
      <x:c r="Q13" s="53" t="str">
        <x:v>Bueno</x:v>
      </x:c>
      <x:c r="R13" s="53" t="str">
        <x:v>No visible</x:v>
      </x:c>
      <x:c r="S13" s="53" t="str">
        <x:v>No visible</x:v>
      </x:c>
      <x:c r="T13" s="53" t="str">
        <x:v>Descripción visible: organizador de maquillaje blanco con dimensiones aproximadas, múltiples compartimentos superiores, sección para artículos planos y cajón inferior. Incluye uso esperado para mantener productos organizados y embellecer tocador/baño.</x:v>
      </x:c>
    </x:row>
    <x:row r="14" ht="72" hidden="0" customHeight="1">
      <x:c r="A14" s="57" t="str">
        <x:v>OH-DET-013</x:v>
      </x:c>
      <x:c r="B14" s="57" t="str">
        <x:v>Camping Para 4 Personas Dt045</x:v>
      </x:c>
      <x:c r="C14" s="57" t="str">
        <x:v>1829428</x:v>
      </x:c>
      <x:c r="D14" s="57" t="str">
        <x:v>RH01587</x:v>
      </x:c>
      <x:c r="E14" s="57" t="str">
        <x:v>Camping</x:v>
      </x:c>
      <x:c r="F14" s="57" t="str">
        <x:v>Simple</x:v>
      </x:c>
      <x:c r="G14" s="57" t="str">
        <x:v>Bogotá</x:v>
      </x:c>
      <x:c r="H14" s="60" t="n">
        <x:v>295</x:v>
      </x:c>
      <x:c r="I14" s="60" t="n">
        <x:v>0</x:v>
      </x:c>
      <x:c r="J14" s="58" t="n">
        <x:v>66000</x:v>
      </x:c>
      <x:c r="K14" s="58" t="n">
        <x:v>100000</x:v>
      </x:c>
      <x:c r="L14" s="58" t="n">
        <x:v>34000</x:v>
      </x:c>
      <x:c r="M14" s="59" t="n">
        <x:v>0.5151515151515151</x:v>
      </x:c>
      <x:c r="N14" s="60" t="n">
        <x:v>3</x:v>
      </x:c>
      <x:c r="O14" s="57" t="str">
        <x:v>Sí</x:v>
      </x:c>
      <x:c r="P14" s="57" t="str">
        <x:v>No</x:v>
      </x:c>
      <x:c r="Q14" s="57" t="str">
        <x:v>Bueno</x:v>
      </x:c>
      <x:c r="R14" s="57" t="str">
        <x:v>No visible</x:v>
      </x:c>
      <x:c r="S14" s="57" t="str">
        <x:v>No visible</x:v>
      </x:c>
      <x:c r="T14" s="57" t="str">
        <x:v>Descripción visible: kit de camping para 4 personas, pensado para naturaleza/familia/parejas. Menciona tienda espaciosa, resistencia al agua, mosquiteras, comodidad y seguridad para una experiencia de camping completa.</x:v>
      </x:c>
    </x:row>
    <x:row r="15" ht="72" hidden="0" customHeight="1">
      <x:c r="A15" s="57" t="str">
        <x:v>OH-DET-014</x:v>
      </x:c>
      <x:c r="B15" s="57" t="str">
        <x:v>Estanteria Lavanderia O Baño Con Puerta</x:v>
      </x:c>
      <x:c r="C15" s="57" t="str">
        <x:v>2029230</x:v>
      </x:c>
      <x:c r="D15" s="57" t="str">
        <x:v>1568</x:v>
      </x:c>
      <x:c r="E15" s="57" t="str">
        <x:v>Hogar; Otro</x:v>
      </x:c>
      <x:c r="F15" s="57" t="str">
        <x:v>Simple</x:v>
      </x:c>
      <x:c r="G15" s="57" t="str">
        <x:v>Bogotá</x:v>
      </x:c>
      <x:c r="H15" s="60" t="n">
        <x:v>3</x:v>
      </x:c>
      <x:c r="I15" s="60" t="n">
        <x:v>0</x:v>
      </x:c>
      <x:c r="J15" s="58" t="n">
        <x:v>44000</x:v>
      </x:c>
      <x:c r="K15" s="58" t="n">
        <x:v>59000</x:v>
      </x:c>
      <x:c r="L15" s="58" t="n">
        <x:v>15000</x:v>
      </x:c>
      <x:c r="M15" s="59" t="n">
        <x:v>0.3409090909090909</x:v>
      </x:c>
      <x:c r="N15" s="60" t="n">
        <x:v>2</x:v>
      </x:c>
      <x:c r="O15" s="57" t="str">
        <x:v>Sí</x:v>
      </x:c>
      <x:c r="P15" s="57" t="str">
        <x:v>No</x:v>
      </x:c>
      <x:c r="Q15" s="57" t="str">
        <x:v>Bueno</x:v>
      </x:c>
      <x:c r="R15" s="57" t="str">
        <x:v>No visible</x:v>
      </x:c>
      <x:c r="S15" s="57" t="str">
        <x:v>No visible</x:v>
      </x:c>
      <x:c r="T15" s="57" t="str">
        <x:v>Descripción visible en bullets: estante de lavandería con puerta, color blanco, dimensiones aproximadas 15 cm x 15 cm x 80 cm, diseño para entradas/espacios reducidos, requiere montaje y uso para papel higiénico o pañuelos. Se observa una miniatura tipo 'producto sin imagen'.</x:v>
      </x:c>
    </x:row>
    <x:row r="16" ht="72" hidden="0" customHeight="1">
      <x:c r="A16" s="57" t="str">
        <x:v>OH-DET-015</x:v>
      </x:c>
      <x:c r="B16" s="57" t="str">
        <x:v>Proyector Hy300 Magis</x:v>
      </x:c>
      <x:c r="C16" s="57" t="str">
        <x:v>1974863</x:v>
      </x:c>
      <x:c r="D16" s="57" t="str">
        <x:v>RH01329</x:v>
      </x:c>
      <x:c r="E16" s="57" t="str">
        <x:v>Tecnología; Otro</x:v>
      </x:c>
      <x:c r="F16" s="57" t="str">
        <x:v>Simple</x:v>
      </x:c>
      <x:c r="G16" s="57" t="str">
        <x:v>Bogotá</x:v>
      </x:c>
      <x:c r="H16" s="60" t="n">
        <x:v>295</x:v>
      </x:c>
      <x:c r="I16" s="60" t="n">
        <x:v>0</x:v>
      </x:c>
      <x:c r="J16" s="58" t="n">
        <x:v>156250</x:v>
      </x:c>
      <x:c r="K16" s="58" t="n">
        <x:v>166000</x:v>
      </x:c>
      <x:c r="L16" s="58" t="n">
        <x:v>9750</x:v>
      </x:c>
      <x:c r="M16" s="59" t="n">
        <x:v>0.0624</x:v>
      </x:c>
      <x:c r="N16" s="60" t="n">
        <x:v>4</x:v>
      </x:c>
      <x:c r="O16" s="57" t="str">
        <x:v>Sí</x:v>
      </x:c>
      <x:c r="P16" s="57" t="str">
        <x:v>No</x:v>
      </x:c>
      <x:c r="Q16" s="57" t="str">
        <x:v>Medio</x:v>
      </x:c>
      <x:c r="R16" s="57" t="str">
        <x:v>No visible</x:v>
      </x:c>
      <x:c r="S16" s="57" t="str">
        <x:v>No visible</x:v>
      </x:c>
      <x:c r="T16" s="57" t="str">
        <x:v>Descripción visible breve: proyector HY300 Magis para convertir la casa en cine, compacto, resolución HD real, conexión Wi‑Fi y Bluetooth, compatible con celular/laptop/TV Box/consolas, sonido potente y diseño portátil.</x:v>
      </x:c>
    </x:row>
    <x:row r="17" ht="72" hidden="0" customHeight="1">
      <x:c r="A17" s="57" t="str">
        <x:v>OH-DET-016</x:v>
      </x:c>
      <x:c r="B17" s="57" t="str">
        <x:v>Lampara De Escritorio Ajustable</x:v>
      </x:c>
      <x:c r="C17" s="57" t="str">
        <x:v>1909653</x:v>
      </x:c>
      <x:c r="D17" s="57" t="str">
        <x:v>RH0070</x:v>
      </x:c>
      <x:c r="E17" s="57" t="str">
        <x:v>Hogar; Otro</x:v>
      </x:c>
      <x:c r="F17" s="57" t="str">
        <x:v>Simple</x:v>
      </x:c>
      <x:c r="G17" s="57" t="str">
        <x:v>Bogotá</x:v>
      </x:c>
      <x:c r="H17" s="60" t="n">
        <x:v>281</x:v>
      </x:c>
      <x:c r="I17" s="60" t="n">
        <x:v>0</x:v>
      </x:c>
      <x:c r="J17" s="58" t="n">
        <x:v>40000</x:v>
      </x:c>
      <x:c r="K17" s="58" t="n">
        <x:v>50000</x:v>
      </x:c>
      <x:c r="L17" s="58" t="n">
        <x:v>10000</x:v>
      </x:c>
      <x:c r="M17" s="59" t="n">
        <x:v>0.25</x:v>
      </x:c>
      <x:c r="N17" s="60" t="n">
        <x:v>3</x:v>
      </x:c>
      <x:c r="O17" s="57" t="str">
        <x:v>Sí</x:v>
      </x:c>
      <x:c r="P17" s="57" t="str">
        <x:v>No</x:v>
      </x:c>
      <x:c r="Q17" s="57" t="str">
        <x:v>Medio</x:v>
      </x:c>
      <x:c r="R17" s="57" t="str">
        <x:v>No visible</x:v>
      </x:c>
      <x:c r="S17" s="57" t="str">
        <x:v>No visible</x:v>
      </x:c>
      <x:c r="T17" s="57" t="str">
        <x:v>Descripción visible breve: lámpara de escritorio ajustable con pinza, brazo flexible, base de pinza para ubicarla en escritorios/mesas, orientada a lectura, estudio, trabajo o manualidades.</x:v>
      </x:c>
    </x:row>
    <x:row r="18" ht="60" hidden="0" customHeight="1">
      <x:c r="A18" s="68" t="str">
        <x:v>OH-DET-017</x:v>
      </x:c>
      <x:c r="B18" s="68" t="str">
        <x:v>Banda Elastica Para Estiramiento Pd12</x:v>
      </x:c>
      <x:c r="C18" s="68" t="str">
        <x:v>1036887</x:v>
      </x:c>
      <x:c r="D18" s="68" t="str">
        <x:v>RH01412</x:v>
      </x:c>
      <x:c r="E18" s="68" t="str">
        <x:v>Deportes; Otro</x:v>
      </x:c>
      <x:c r="F18" s="68" t="str">
        <x:v>Simple</x:v>
      </x:c>
      <x:c r="G18" s="68" t="str">
        <x:v>Bogotá</x:v>
      </x:c>
      <x:c r="H18" s="71" t="n">
        <x:v>19</x:v>
      </x:c>
      <x:c r="I18" s="71" t="n">
        <x:v>0</x:v>
      </x:c>
      <x:c r="J18" s="71" t="n">
        <x:v>10000</x:v>
      </x:c>
      <x:c r="K18" s="71" t="n">
        <x:v>25000</x:v>
      </x:c>
      <x:c r="L18" s="71" t="n">
        <x:v>15000</x:v>
      </x:c>
      <x:c r="M18" s="72" t="n">
        <x:v>1.5</x:v>
      </x:c>
      <x:c r="N18" s="73" t="n">
        <x:v>4</x:v>
      </x:c>
      <x:c r="O18" s="68" t="str">
        <x:v>Sí</x:v>
      </x:c>
      <x:c r="P18" s="68" t="str">
        <x:v>No</x:v>
      </x:c>
      <x:c r="Q18" s="68" t="str">
        <x:v>Bueno</x:v>
      </x:c>
      <x:c r="R18" s="68" t="str">
        <x:v>No visible</x:v>
      </x:c>
      <x:c r="S18" s="68" t="str">
        <x:v>No visible</x:v>
      </x:c>
      <x:c r="T18" s="68" t="str">
        <x:v>Descripción visible: correa/banda elástica para entrenamiento y estiramiento. Menciona flexibilidad, mejora de flexibilidad, fortalecimiento y equilibrio; correas de nylon de alta resistencia para durabilidad y seguridad durante las sesiones.</x:v>
      </x:c>
    </x:row>
    <x:row r="19" ht="60" hidden="0" customHeight="1">
      <x:c r="A19" s="68" t="str">
        <x:v>OH-DET-018</x:v>
      </x:c>
      <x:c r="B19" s="68" t="str">
        <x:v>Ventilador Con Luz Y Control Fsyt260</x:v>
      </x:c>
      <x:c r="C19" s="68" t="str">
        <x:v>1340783</x:v>
      </x:c>
      <x:c r="D19" s="68" t="str">
        <x:v>RH01474</x:v>
      </x:c>
      <x:c r="E19" s="68" t="str">
        <x:v>Hogar; Natural Home</x:v>
      </x:c>
      <x:c r="F19" s="68" t="str">
        <x:v>Simple</x:v>
      </x:c>
      <x:c r="G19" s="68" t="str">
        <x:v>Bogotá</x:v>
      </x:c>
      <x:c r="H19" s="71" t="n">
        <x:v>35</x:v>
      </x:c>
      <x:c r="I19" s="71" t="n">
        <x:v>0</x:v>
      </x:c>
      <x:c r="J19" s="71" t="n">
        <x:v>31000</x:v>
      </x:c>
      <x:c r="K19" s="71" t="n">
        <x:v>50000</x:v>
      </x:c>
      <x:c r="L19" s="71" t="n">
        <x:v>19000</x:v>
      </x:c>
      <x:c r="M19" s="72" t="n">
        <x:v>0.6129032258064516</x:v>
      </x:c>
      <x:c r="N19" s="73" t="n">
        <x:v>5</x:v>
      </x:c>
      <x:c r="O19" s="68" t="str">
        <x:v>Sí</x:v>
      </x:c>
      <x:c r="P19" s="68" t="str">
        <x:v>No</x:v>
      </x:c>
      <x:c r="Q19" s="68" t="str">
        <x:v>Bueno</x:v>
      </x:c>
      <x:c r="R19" s="68" t="str">
        <x:v>No visible</x:v>
      </x:c>
      <x:c r="S19" s="68" t="str">
        <x:v>No visible</x:v>
      </x:c>
      <x:c r="T19" s="68" t="str">
        <x:v>Descripción visible en lista: ventilador con tres modos de viento, luz LED E27 de 30W, control remoto para velocidad e iluminación, funcionamiento silencioso y múltiples aplicaciones para sala, dormitorio, habitación de niños, cafetería, estudio o cocina.</x:v>
      </x:c>
    </x:row>
    <x:row r="20" ht="60" hidden="0" customHeight="1">
      <x:c r="A20" s="68" t="str">
        <x:v>OH-DET-019</x:v>
      </x:c>
      <x:c r="B20" s="68" t="str">
        <x:v>Combo mini Gps Rastremni Camara Inalam</x:v>
      </x:c>
      <x:c r="C20" s="68" t="str">
        <x:v>2109190</x:v>
      </x:c>
      <x:c r="D20" s="68" t="str">
        <x:v>RH01341</x:v>
      </x:c>
      <x:c r="E20" s="68" t="str">
        <x:v>Tecnología; Otro</x:v>
      </x:c>
      <x:c r="F20" s="68" t="str">
        <x:v>Simple</x:v>
      </x:c>
      <x:c r="G20" s="68" t="str">
        <x:v>Bogotá</x:v>
      </x:c>
      <x:c r="H20" s="71" t="n">
        <x:v>300</x:v>
      </x:c>
      <x:c r="I20" s="71" t="n">
        <x:v>0</x:v>
      </x:c>
      <x:c r="J20" s="71" t="n">
        <x:v>44000</x:v>
      </x:c>
      <x:c r="K20" s="71" t="n">
        <x:v>64000</x:v>
      </x:c>
      <x:c r="L20" s="71" t="n">
        <x:v>20000</x:v>
      </x:c>
      <x:c r="M20" s="72" t="n">
        <x:v>0.45454545454545453</x:v>
      </x:c>
      <x:c r="N20" s="73" t="n">
        <x:v>3</x:v>
      </x:c>
      <x:c r="O20" s="68" t="str">
        <x:v>Sí</x:v>
      </x:c>
      <x:c r="P20" s="68" t="str">
        <x:v>Sí</x:v>
      </x:c>
      <x:c r="Q20" s="68" t="str">
        <x:v>Bueno</x:v>
      </x:c>
      <x:c r="R20" s="68" t="str">
        <x:v>No visible</x:v>
      </x:c>
      <x:c r="S20" s="68" t="str">
        <x:v>No visible</x:v>
      </x:c>
      <x:c r="T20" s="68" t="str">
        <x:v>Descripción visible extensa: combo de mini GPS/rastreador y cámara inalámbrica. Lista características como producto importado, conexión de datos, tarjeta SIM no incluida, memoria micro SD, sensor de movimiento, compatibilidad Android/iPhone, batería, carga, dimensiones y especificaciones de conexión. El texto continúa por debajo del pantallazo.</x:v>
      </x:c>
    </x:row>
    <x:row r="21" ht="60" hidden="0" customHeight="1">
      <x:c r="A21" s="68" t="str">
        <x:v>OH-DET-020</x:v>
      </x:c>
      <x:c r="B21" s="68" t="str">
        <x:v>Dispensador De Aceite Pn76</x:v>
      </x:c>
      <x:c r="C21" s="68" t="str">
        <x:v>1292567</x:v>
      </x:c>
      <x:c r="D21" s="68" t="str">
        <x:v>RH0056</x:v>
      </x:c>
      <x:c r="E21" s="68" t="str">
        <x:v>Cocina; Hogar; Natural Home</x:v>
      </x:c>
      <x:c r="F21" s="68" t="str">
        <x:v>Simple</x:v>
      </x:c>
      <x:c r="G21" s="68" t="str">
        <x:v>Bogotá</x:v>
      </x:c>
      <x:c r="H21" s="71" t="n">
        <x:v>270</x:v>
      </x:c>
      <x:c r="I21" s="71" t="n">
        <x:v>0</x:v>
      </x:c>
      <x:c r="J21" s="71" t="n">
        <x:v>12000</x:v>
      </x:c>
      <x:c r="K21" s="71" t="n">
        <x:v>28000</x:v>
      </x:c>
      <x:c r="L21" s="71" t="n">
        <x:v>16000</x:v>
      </x:c>
      <x:c r="M21" s="72" t="n">
        <x:v>1.3333333333333333</x:v>
      </x:c>
      <x:c r="N21" s="73" t="n">
        <x:v>5</x:v>
      </x:c>
      <x:c r="O21" s="68" t="str">
        <x:v>Sí</x:v>
      </x:c>
      <x:c r="P21" s="68" t="str">
        <x:v>No</x:v>
      </x:c>
      <x:c r="Q21" s="68" t="str">
        <x:v>Bueno</x:v>
      </x:c>
      <x:c r="R21" s="68" t="str">
        <x:v>No visible</x:v>
      </x:c>
      <x:c r="S21" s="68" t="str">
        <x:v>No visible</x:v>
      </x:c>
      <x:c r="T21" s="68" t="str">
        <x:v>Descripción visible: botella pulverizadora/dispensador de aceite con bomba oculta y acero inoxidable. Orientada a cocina para dosificar aceite de oliva, vegetal, vinagre, aceite de canola/coco/girasol, aceite de cacahuete, jugo, salsa de soja o vino de cocina.</x:v>
      </x:c>
    </x:row>
    <x:row r="22" ht="15" hidden="0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28"/>
      <x:c r="K22" s="28"/>
      <x:c r="L22" s="28"/>
      <x:c r="M22" s="30"/>
      <x:c r="N22" s="18"/>
      <x:c r="O22" s="18"/>
      <x:c r="P22" s="18"/>
      <x:c r="Q22" s="18"/>
      <x:c r="R22" s="18"/>
      <x:c r="S22" s="18"/>
      <x:c r="T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28"/>
      <x:c r="K23" s="28"/>
      <x:c r="L23" s="28"/>
      <x:c r="M23" s="30"/>
      <x:c r="N23" s="18"/>
      <x:c r="O23" s="18"/>
      <x:c r="P23" s="18"/>
      <x:c r="Q23" s="18"/>
      <x:c r="R23" s="18"/>
      <x:c r="S23" s="18"/>
      <x:c r="T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28"/>
      <x:c r="K24" s="28"/>
      <x:c r="L24" s="28"/>
      <x:c r="M24" s="30"/>
      <x:c r="N24" s="18"/>
      <x:c r="O24" s="18"/>
      <x:c r="P24" s="18"/>
      <x:c r="Q24" s="18"/>
      <x:c r="R24" s="18"/>
      <x:c r="S24" s="18"/>
      <x:c r="T24" s="18"/>
    </x:row>
    <x:row r="25" ht="15" hidden="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28"/>
      <x:c r="K25" s="28"/>
      <x:c r="L25" s="28"/>
      <x:c r="M25" s="30"/>
      <x:c r="N25" s="18"/>
      <x:c r="O25" s="18"/>
      <x:c r="P25" s="18"/>
      <x:c r="Q25" s="18"/>
      <x:c r="R25" s="18"/>
      <x:c r="S25" s="18"/>
      <x:c r="T25" s="18"/>
    </x:row>
    <x:row r="26" ht="15" hidden="0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28"/>
      <x:c r="K26" s="28"/>
      <x:c r="L26" s="28"/>
      <x:c r="M26" s="30"/>
      <x:c r="N26" s="18"/>
      <x:c r="O26" s="18"/>
      <x:c r="P26" s="18"/>
      <x:c r="Q26" s="18"/>
      <x:c r="R26" s="18"/>
      <x:c r="S26" s="18"/>
      <x:c r="T26" s="18"/>
    </x:row>
    <x:row r="27" ht="15" hidden="0" customHeight="1">
      <x:c r="A27" s="18"/>
      <x:c r="B27" s="18"/>
      <x:c r="C27" s="18"/>
      <x:c r="D27" s="18"/>
      <x:c r="E27" s="18"/>
      <x:c r="F27" s="18"/>
      <x:c r="G27" s="18"/>
      <x:c r="H27" s="18"/>
      <x:c r="I27" s="18"/>
      <x:c r="J27" s="28"/>
      <x:c r="K27" s="28"/>
      <x:c r="L27" s="28"/>
      <x:c r="M27" s="30"/>
      <x:c r="N27" s="18"/>
      <x:c r="O27" s="18"/>
      <x:c r="P27" s="18"/>
      <x:c r="Q27" s="18"/>
      <x:c r="R27" s="18"/>
      <x:c r="S27" s="18"/>
      <x:c r="T27" s="18"/>
    </x:row>
    <x:row r="28" ht="15" hidden="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28"/>
      <x:c r="K28" s="28"/>
      <x:c r="L28" s="28"/>
      <x:c r="M28" s="30"/>
      <x:c r="N28" s="18"/>
      <x:c r="O28" s="18"/>
      <x:c r="P28" s="18"/>
      <x:c r="Q28" s="18"/>
      <x:c r="R28" s="18"/>
      <x:c r="S28" s="18"/>
      <x:c r="T28" s="18"/>
    </x:row>
    <x:row r="29" ht="15" hidden="0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28"/>
      <x:c r="K29" s="28"/>
      <x:c r="L29" s="28"/>
      <x:c r="M29" s="30"/>
      <x:c r="N29" s="18"/>
      <x:c r="O29" s="18"/>
      <x:c r="P29" s="18"/>
      <x:c r="Q29" s="18"/>
      <x:c r="R29" s="18"/>
      <x:c r="S29" s="18"/>
      <x:c r="T29" s="18"/>
    </x:row>
    <x:row r="30" ht="15" hidden="0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28"/>
      <x:c r="K30" s="28"/>
      <x:c r="L30" s="28"/>
      <x:c r="M30" s="30"/>
      <x:c r="N30" s="18"/>
      <x:c r="O30" s="18"/>
      <x:c r="P30" s="18"/>
      <x:c r="Q30" s="18"/>
      <x:c r="R30" s="18"/>
      <x:c r="S30" s="18"/>
      <x:c r="T30" s="18"/>
    </x:row>
    <x:row r="31" ht="15" hidden="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28"/>
      <x:c r="K31" s="28"/>
      <x:c r="L31" s="28"/>
      <x:c r="M31" s="30"/>
      <x:c r="N31" s="18"/>
      <x:c r="O31" s="18"/>
      <x:c r="P31" s="18"/>
      <x:c r="Q31" s="18"/>
      <x:c r="R31" s="18"/>
      <x:c r="S31" s="18"/>
      <x:c r="T31" s="18"/>
    </x:row>
    <x:row r="32" ht="15" hidden="0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28"/>
      <x:c r="K32" s="28"/>
      <x:c r="L32" s="28"/>
      <x:c r="M32" s="30"/>
      <x:c r="N32" s="18"/>
      <x:c r="O32" s="18"/>
      <x:c r="P32" s="18"/>
      <x:c r="Q32" s="18"/>
      <x:c r="R32" s="18"/>
      <x:c r="S32" s="18"/>
      <x:c r="T32" s="18"/>
    </x:row>
    <x:row r="33" ht="15" hidden="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28"/>
      <x:c r="K33" s="28"/>
      <x:c r="L33" s="28"/>
      <x:c r="M33" s="30"/>
      <x:c r="N33" s="18"/>
      <x:c r="O33" s="18"/>
      <x:c r="P33" s="18"/>
      <x:c r="Q33" s="18"/>
      <x:c r="R33" s="18"/>
      <x:c r="S33" s="18"/>
      <x:c r="T33" s="18"/>
    </x:row>
    <x:row r="34" ht="15" hidden="0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28"/>
      <x:c r="K34" s="28"/>
      <x:c r="L34" s="28"/>
      <x:c r="M34" s="30"/>
      <x:c r="N34" s="18"/>
      <x:c r="O34" s="18"/>
      <x:c r="P34" s="18"/>
      <x:c r="Q34" s="18"/>
      <x:c r="R34" s="18"/>
      <x:c r="S34" s="18"/>
      <x:c r="T34" s="18"/>
    </x:row>
    <x:row r="35" ht="15" hidden="0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28"/>
      <x:c r="K35" s="28"/>
      <x:c r="L35" s="28"/>
      <x:c r="M35" s="30"/>
      <x:c r="N35" s="18"/>
      <x:c r="O35" s="18"/>
      <x:c r="P35" s="18"/>
      <x:c r="Q35" s="18"/>
      <x:c r="R35" s="18"/>
      <x:c r="S35" s="18"/>
      <x:c r="T35" s="18"/>
    </x:row>
    <x:row r="36" ht="15" hidden="0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28"/>
      <x:c r="K36" s="28"/>
      <x:c r="L36" s="28"/>
      <x:c r="M36" s="30"/>
      <x:c r="N36" s="18"/>
      <x:c r="O36" s="18"/>
      <x:c r="P36" s="18"/>
      <x:c r="Q36" s="18"/>
      <x:c r="R36" s="18"/>
      <x:c r="S36" s="18"/>
      <x:c r="T36" s="18"/>
    </x:row>
    <x:row r="37" ht="15" hidden="0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28"/>
      <x:c r="K37" s="28"/>
      <x:c r="L37" s="28"/>
      <x:c r="M37" s="30"/>
      <x:c r="N37" s="18"/>
      <x:c r="O37" s="18"/>
      <x:c r="P37" s="18"/>
      <x:c r="Q37" s="18"/>
      <x:c r="R37" s="18"/>
      <x:c r="S37" s="18"/>
      <x:c r="T37" s="18"/>
    </x:row>
    <x:row r="38" ht="15" hidden="0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28"/>
      <x:c r="K38" s="28"/>
      <x:c r="L38" s="28"/>
      <x:c r="M38" s="30"/>
      <x:c r="N38" s="18"/>
      <x:c r="O38" s="18"/>
      <x:c r="P38" s="18"/>
      <x:c r="Q38" s="18"/>
      <x:c r="R38" s="18"/>
      <x:c r="S38" s="18"/>
      <x:c r="T38" s="18"/>
    </x:row>
    <x:row r="39" ht="15" hidden="0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28"/>
      <x:c r="K39" s="28"/>
      <x:c r="L39" s="28"/>
      <x:c r="M39" s="30"/>
      <x:c r="N39" s="18"/>
      <x:c r="O39" s="18"/>
      <x:c r="P39" s="18"/>
      <x:c r="Q39" s="18"/>
      <x:c r="R39" s="18"/>
      <x:c r="S39" s="18"/>
      <x:c r="T39" s="18"/>
    </x:row>
    <x:row r="40" ht="15" hidden="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28"/>
      <x:c r="K40" s="28"/>
      <x:c r="L40" s="28"/>
      <x:c r="M40" s="30"/>
      <x:c r="N40" s="18"/>
      <x:c r="O40" s="18"/>
      <x:c r="P40" s="18"/>
      <x:c r="Q40" s="18"/>
      <x:c r="R40" s="18"/>
      <x:c r="S40" s="18"/>
      <x:c r="T40" s="18"/>
    </x:row>
    <x:row r="41" ht="15" hidden="0" customHeight="1">
      <x:c r="A41" s="18"/>
      <x:c r="B41" s="18"/>
      <x:c r="C41" s="18"/>
      <x:c r="D41" s="18"/>
      <x:c r="E41" s="18"/>
      <x:c r="F41" s="18"/>
      <x:c r="G41" s="18"/>
      <x:c r="H41" s="18"/>
      <x:c r="I41" s="18"/>
      <x:c r="J41" s="28"/>
      <x:c r="K41" s="28"/>
      <x:c r="L41" s="28"/>
      <x:c r="M41" s="30"/>
      <x:c r="N41" s="18"/>
      <x:c r="O41" s="18"/>
      <x:c r="P41" s="18"/>
      <x:c r="Q41" s="18"/>
      <x:c r="R41" s="18"/>
      <x:c r="S41" s="18"/>
      <x:c r="T41" s="18"/>
    </x:row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dataValidations count="2">
    <x:dataValidation type="list" sqref="P2:P41">
      <x:formula1>"Sí,No,No aplica,Pendiente"</x:formula1>
    </x:dataValidation>
    <x:dataValidation type="list" sqref="Q2:Q41">
      <x:formula1>"Sin descripción,Básico,Medio,Bueno,Extenso,Pendiente"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596b27de384c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2" hidden="0" customWidth="1"/>
    <x:col min="4" max="4" width="16" hidden="0" customWidth="1"/>
    <x:col min="5" max="5" width="42" hidden="0" customWidth="1"/>
  </x:cols>
  <x:sheetData>
    <x:row r="1" ht="15" hidden="0" customHeight="1">
      <x:c r="A1" s="23" t="str">
        <x:v>Dato faltante</x:v>
      </x:c>
      <x:c r="B1" s="23" t="str">
        <x:v>Nivel</x:v>
      </x:c>
      <x:c r="C1" s="23" t="str">
        <x:v>Cómo obtenerlo</x:v>
      </x:c>
      <x:c r="D1" s="23" t="str">
        <x:v>Estado</x:v>
      </x:c>
      <x:c r="E1" s="23" t="str">
        <x:v>Notas</x:v>
      </x:c>
    </x:row>
    <x:row r="2" ht="15" hidden="0" customHeight="1">
      <x:c r="A2" t="str">
        <x:v>Productos públicos vs privados</x:v>
      </x:c>
      <x:c r="B2" t="str">
        <x:v>Proveedor</x:v>
      </x:c>
      <x:c r="C2" t="str">
        <x:v>Export / query de catálogo</x:v>
      </x:c>
      <x:c r="D2" t="str">
        <x:v>Pendiente</x:v>
      </x:c>
      <x:c r="E2" t="str">
        <x:v>Validar si parte del catálogo no aparece en feed.</x:v>
      </x:c>
    </x:row>
    <x:row r="3" ht="15" hidden="0" customHeight="1">
      <x:c r="A3" t="str">
        <x:v>Productos activos vs agotados</x:v>
      </x:c>
      <x:c r="B3" t="str">
        <x:v>Proveedor</x:v>
      </x:c>
      <x:c r="C3" t="str">
        <x:v>Data de catálogo</x:v>
      </x:c>
      <x:c r="D3" t="str">
        <x:v>Pendiente</x:v>
      </x:c>
      <x:c r="E3" t="str"/>
    </x:row>
    <x:row r="4" ht="15" hidden="0" customHeight="1">
      <x:c r="A4" t="str">
        <x:v>Productos con al menos 1 orden</x:v>
      </x:c>
      <x:c r="B4" t="str">
        <x:v>Producto</x:v>
      </x:c>
      <x:c r="C4" t="str">
        <x:v>Data de órdenes por SKU/producto</x:v>
      </x:c>
      <x:c r="D4" t="str">
        <x:v>Pendiente</x:v>
      </x:c>
      <x:c r="E4" t="str"/>
    </x:row>
    <x:row r="5" ht="15" hidden="0" customHeight="1">
      <x:c r="A5" t="str">
        <x:v>Órdenes y GMV por producto</x:v>
      </x:c>
      <x:c r="B5" t="str">
        <x:v>Producto</x:v>
      </x:c>
      <x:c r="C5" t="str">
        <x:v>Data transaccional</x:v>
      </x:c>
      <x:c r="D5" t="str">
        <x:v>Pendiente</x:v>
      </x:c>
      <x:c r="E5" t="str"/>
    </x:row>
    <x:row r="6" ht="15" hidden="0" customHeight="1">
      <x:c r="A6" t="str">
        <x:v>Órdenes y GMV por categoría</x:v>
      </x:c>
      <x:c r="B6" t="str">
        <x:v>Categoría</x:v>
      </x:c>
      <x:c r="C6" t="str">
        <x:v>Cruce catálogo + órdenes</x:v>
      </x:c>
      <x:c r="D6" t="str">
        <x:v>Pendiente</x:v>
      </x:c>
      <x:c r="E6" t="str"/>
    </x:row>
    <x:row r="7" ht="15" hidden="0" customHeight="1">
      <x:c r="A7" t="str">
        <x:v>Concentración top productos</x:v>
      </x:c>
      <x:c r="B7" t="str">
        <x:v>Proveedor</x:v>
      </x:c>
      <x:c r="C7" t="str">
        <x:v>Top SKU por órdenes/GMV</x:v>
      </x:c>
      <x:c r="D7" t="str">
        <x:v>Pendiente</x:v>
      </x:c>
      <x:c r="E7" t="str"/>
    </x:row>
    <x:row r="8" ht="15" hidden="0" customHeight="1">
      <x:c r="A8" t="str">
        <x:v>Tasa producto creado → primera orden</x:v>
      </x:c>
      <x:c r="B8" t="str">
        <x:v>Producto</x:v>
      </x:c>
      <x:c r="C8" t="str">
        <x:v>Fecha creación + primera orden</x:v>
      </x:c>
      <x:c r="D8" t="str">
        <x:v>Pendiente</x:v>
      </x:c>
      <x:c r="E8" t="str"/>
    </x:row>
    <x:row r="9" ht="15" hidden="0" customHeight="1">
      <x:c r="A9" t="str">
        <x:v>Reclamos/devoluciones por producto</x:v>
      </x:c>
      <x:c r="B9" t="str">
        <x:v>Producto</x:v>
      </x:c>
      <x:c r="C9" t="str">
        <x:v>Postventa / tickets / devoluciones</x:v>
      </x:c>
      <x:c r="D9" t="str">
        <x:v>Pendiente</x:v>
      </x:c>
      <x:c r="E9" t="str"/>
    </x:row>
    <x:row r="10" ht="15" hidden="0" customHeight="1">
      <x:c r="A10" t="str">
        <x:v>Cancelaciones por producto</x:v>
      </x:c>
      <x:c r="B10" t="str">
        <x:v>Producto</x:v>
      </x:c>
      <x:c r="C10" t="str">
        <x:v>Data órdenes canceladas</x:v>
      </x:c>
      <x:c r="D10" t="str">
        <x:v>Pendiente</x:v>
      </x:c>
      <x:c r="E10" t="str"/>
    </x:row>
    <x:row r="11" ht="15" hidden="0" customHeight="1">
      <x:c r="A11" t="str">
        <x:v>Dropshippers activos por producto</x:v>
      </x:c>
      <x:c r="B11" t="str">
        <x:v>Producto</x:v>
      </x:c>
      <x:c r="C11" t="str">
        <x:v>Data de órdenes por dropshipper</x:v>
      </x:c>
      <x:c r="D11" t="str">
        <x:v>Pendiente</x:v>
      </x:c>
      <x:c r="E11" t="str"/>
    </x:row>
    <x:row r="12" ht="15" hidden="0" customHeight="1">
      <x:c r="A12" t="str">
        <x:v>Margen real por producto</x:v>
      </x:c>
      <x:c r="B12" t="str">
        <x:v>Producto</x:v>
      </x:c>
      <x:c r="C12" t="str">
        <x:v>Precio proveedor + precio venta final real</x:v>
      </x:c>
      <x:c r="D12" t="str">
        <x:v>Pendiente</x:v>
      </x:c>
      <x:c r="E12" t="str"/>
    </x:row>
    <x:row r="13" ht="15" hidden="0" customHeight="1">
      <x:c r="A13" t="str">
        <x:v>Calidad de imagen</x:v>
      </x:c>
      <x:c r="B13" t="str">
        <x:v>Producto</x:v>
      </x:c>
      <x:c r="C13" t="str">
        <x:v>Revisión manual de detalle</x:v>
      </x:c>
      <x:c r="D13" t="str">
        <x:v>Pendiente</x:v>
      </x:c>
      <x:c r="E13" t="str"/>
    </x:row>
    <x:row r="14" ht="15" hidden="0" customHeight="1">
      <x:c r="A14" t="str">
        <x:v>Calidad de descripción</x:v>
      </x:c>
      <x:c r="B14" t="str">
        <x:v>Producto</x:v>
      </x:c>
      <x:c r="C14" t="str">
        <x:v>Revisión manual de detalle</x:v>
      </x:c>
      <x:c r="D14" t="str">
        <x:v>Pendiente</x:v>
      </x:c>
      <x:c r="E14" t="str"/>
    </x:row>
    <x:row r="15" ht="15" hidden="0" customHeight="1">
      <x:c r="A15" t="str">
        <x:v>Garantía visible / política</x:v>
      </x:c>
      <x:c r="B15" t="str">
        <x:v>Producto</x:v>
      </x:c>
      <x:c r="C15" t="str">
        <x:v>Revisión manual de detalle</x:v>
      </x:c>
      <x:c r="D15" t="str">
        <x:v>Pendiente</x:v>
      </x:c>
      <x:c r="E15" t="str"/>
    </x:row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cbbcf606c8994c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14" t="str">
        <x:v>Estados</x:v>
      </x:c>
      <x:c r="B1" s="14" t="str">
        <x:v>Calidad contenido</x:v>
      </x:c>
      <x:c r="C1" s="14" t="str">
        <x:v>Descripción supera screenshot</x:v>
      </x:c>
      <x:c r="D1" s="14" t="str">
        <x:v>Categorías base</x:v>
      </x:c>
      <x:c r="E1" s="14" t="str">
        <x:v>Fuentes</x:v>
      </x:c>
    </x:row>
    <x:row r="2" ht="15" hidden="0" customHeight="1">
      <x:c r="A2" t="str">
        <x:v>Activo</x:v>
      </x:c>
      <x:c r="B2" t="str">
        <x:v>Sin descripción</x:v>
      </x:c>
      <x:c r="C2" t="str">
        <x:v>Sí</x:v>
      </x:c>
      <x:c r="D2" t="str">
        <x:v>Belleza</x:v>
      </x:c>
      <x:c r="E2" t="str">
        <x:v>Feed visible</x:v>
      </x:c>
    </x:row>
    <x:row r="3" ht="15" hidden="0" customHeight="1">
      <x:c r="A3" t="str">
        <x:v>Agotado</x:v>
      </x:c>
      <x:c r="B3" t="str">
        <x:v>Básico</x:v>
      </x:c>
      <x:c r="C3" t="str">
        <x:v>No</x:v>
      </x:c>
      <x:c r="D3" t="str">
        <x:v>Bienestar</x:v>
      </x:c>
      <x:c r="E3" t="str">
        <x:v>Detalle producto</x:v>
      </x:c>
    </x:row>
    <x:row r="4" ht="15" hidden="0" customHeight="1">
      <x:c r="A4" t="str">
        <x:v>Pendiente</x:v>
      </x:c>
      <x:c r="B4" t="str">
        <x:v>Medio</x:v>
      </x:c>
      <x:c r="C4" t="str">
        <x:v>No aplica</x:v>
      </x:c>
      <x:c r="D4" t="str">
        <x:v>Cocina</x:v>
      </x:c>
      <x:c r="E4" t="str">
        <x:v>Data export</x:v>
      </x:c>
    </x:row>
    <x:row r="5" ht="15" hidden="0" customHeight="1">
      <x:c r="A5" t="str">
        <x:v>No visible</x:v>
      </x:c>
      <x:c r="B5" t="str">
        <x:v>Bueno</x:v>
      </x:c>
      <x:c r="C5" t="str">
        <x:v>Pendiente</x:v>
      </x:c>
      <x:c r="D5" t="str">
        <x:v>Hogar</x:v>
      </x:c>
      <x:c r="E5" t="str">
        <x:v>Pregunta a equipo/data</x:v>
      </x:c>
    </x:row>
    <x:row r="6" ht="15" hidden="0" customHeight="1">
      <x:c r="A6" t="str"/>
      <x:c r="B6" t="str">
        <x:v>Extenso</x:v>
      </x:c>
      <x:c r="C6" t="str"/>
      <x:c r="D6" t="str">
        <x:v>Tecnología</x:v>
      </x:c>
      <x:c r="E6" t="str"/>
    </x:row>
    <x:row r="7" ht="15" hidden="0" customHeight="1">
      <x:c r="A7" t="str"/>
      <x:c r="B7" t="str">
        <x:v>Pendiente</x:v>
      </x:c>
      <x:c r="C7" t="str"/>
      <x:c r="D7" t="str">
        <x:v>Salud</x:v>
      </x:c>
      <x:c r="E7" t="str"/>
    </x:row>
    <x:row r="8" ht="15" hidden="0" customHeight="1">
      <x:c r="A8" t="str"/>
      <x:c r="B8" t="str"/>
      <x:c r="C8" t="str"/>
      <x:c r="D8" t="str">
        <x:v>Bebé</x:v>
      </x:c>
      <x:c r="E8" t="str"/>
    </x:row>
    <x:row r="9" ht="15" hidden="0" customHeight="1">
      <x:c r="A9" t="str"/>
      <x:c r="B9" t="str"/>
      <x:c r="C9" t="str"/>
      <x:c r="D9" t="str">
        <x:v>Mascotas</x:v>
      </x:c>
      <x:c r="E9" t="str"/>
    </x:row>
    <x:row r="10" ht="15" hidden="0" customHeight="1">
      <x:c r="A10" t="str"/>
      <x:c r="B10" t="str"/>
      <x:c r="C10" t="str"/>
      <x:c r="D10" t="str">
        <x:v>Deportes</x:v>
      </x:c>
      <x:c r="E10" t="str"/>
    </x:row>
    <x:row r="11" ht="15" hidden="0" customHeight="1">
      <x:c r="A11" t="str"/>
      <x:c r="B11" t="str"/>
      <x:c r="C11" t="str"/>
      <x:c r="D11" t="str">
        <x:v>Vehículos</x:v>
      </x:c>
      <x:c r="E11" t="str"/>
    </x:row>
    <x:row r="12" ht="15" hidden="0" customHeight="1">
      <x:c r="A12" t="str"/>
      <x:c r="B12" t="str"/>
      <x:c r="C12" t="str"/>
      <x:c r="D12" t="str">
        <x:v>Herramientas</x:v>
      </x:c>
      <x:c r="E12" t="str"/>
    </x:row>
    <x:row r="13" ht="15" hidden="0" customHeight="1">
      <x:c r="A13" t="str"/>
      <x:c r="B13" t="str"/>
      <x:c r="C13" t="str"/>
      <x:c r="D13" t="str">
        <x:v>Juguetería</x:v>
      </x:c>
      <x:c r="E13" t="str"/>
    </x:row>
    <x:row r="14" ht="15" hidden="0" customHeight="1">
      <x:c r="A14" t="str"/>
      <x:c r="B14" t="str"/>
      <x:c r="C14" t="str"/>
      <x:c r="D14" t="str">
        <x:v>Moda</x:v>
      </x:c>
      <x:c r="E14" t="str"/>
    </x:row>
    <x:row r="15" ht="15" hidden="0" customHeight="1">
      <x:c r="A15" t="str"/>
      <x:c r="B15" t="str"/>
      <x:c r="C15" t="str"/>
      <x:c r="D15" t="str">
        <x:v>Camping</x:v>
      </x:c>
      <x:c r="E15" t="str"/>
    </x:row>
    <x:row r="16" ht="15" hidden="0" customHeight="1">
      <x:c r="A16" t="str"/>
      <x:c r="B16" t="str"/>
      <x:c r="C16" t="str"/>
      <x:c r="D16" t="str">
        <x:v>Aseo</x:v>
      </x:c>
      <x:c r="E16" t="str"/>
    </x:row>
    <x:row r="17" ht="15" hidden="0" customHeight="1">
      <x:c r="A17" t="str"/>
      <x:c r="B17" t="str"/>
      <x:c r="C17" t="str"/>
      <x:c r="D17" t="str">
        <x:v>Otro</x:v>
      </x:c>
      <x:c r="E17" t="str"/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