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09a8bea344d42f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Resumen" sheetId="1" r:id="R29e3c1881afc4c80"/>
    <x:sheet xmlns:r="http://schemas.openxmlformats.org/officeDocument/2006/relationships" name="01_Catalogo_visible" sheetId="2" r:id="R6084bdfde0be4b13"/>
    <x:sheet xmlns:r="http://schemas.openxmlformats.org/officeDocument/2006/relationships" name="02_Detalle_productos" sheetId="3" r:id="R81f4f3a15ec24402"/>
    <x:sheet xmlns:r="http://schemas.openxmlformats.org/officeDocument/2006/relationships" name="04_Data_faltante" sheetId="4" r:id="R2a40b3519dda442d"/>
    <x:sheet xmlns:r="http://schemas.openxmlformats.org/officeDocument/2006/relationships" name="05_Lectura_PM" sheetId="5" r:id="R4861c041fc7d4abd"/>
    <x:sheet xmlns:r="http://schemas.openxmlformats.org/officeDocument/2006/relationships" name="06_Diccionario" sheetId="6" r:id="R8d49ff6253bd4fa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0.0%"/>
    <x:numFmt numFmtId="202" formatCode="0"/>
  </x:numFmts>
  <x:fonts count="2">
    <x:font>
      <x:sz val="11"/>
      <x:name val="Carlito"/>
    </x:font>
    <x:font>
      <x:b/>
      <x:sz val="11"/>
      <x:color rgb="FFFFFF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111827"/>
      </x:patternFill>
    </x:fill>
    <x:fill>
      <x:patternFill patternType="solid">
        <x:fgColor rgb="F97316"/>
      </x:patternFill>
    </x:fill>
    <x:fill>
      <x:patternFill patternType="solid">
        <x:fgColor rgb="1F2937"/>
      </x:patternFill>
    </x:fill>
    <x:fill>
      <x:patternFill patternType="solid">
        <x:fgColor rgb="EAF6FF"/>
      </x:patternFill>
    </x:fill>
    <x:fill>
      <x:patternFill patternType="solid">
        <x:fgColor rgb="FFFFFF"/>
      </x:patternFill>
    </x:fill>
    <x:fill>
      <x:patternFill patternType="solid">
        <x:fgColor rgb="111827"/>
      </x:patternFill>
    </x:fill>
    <x:fill>
      <x:patternFill patternType="solid">
        <x:fgColor rgb="0F766E"/>
      </x:patternFill>
    </x:fill>
  </x:fills>
  <x:borders count="2">
    <x:border/>
    <x:border/>
  </x:borders>
  <x:cellStyleXfs count="1">
    <x:xf numFmtId="0" fontId="0" fillId="0" borderId="0"/>
  </x:cellStyleXfs>
  <x:cellXfs count="4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1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horizontal="center"/>
    </x:xf>
    <x:xf numFmtId="0" fontId="1" fillId="3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0" fontId="0" fillId="0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 applyAlignment="1">
      <x:alignment vertical="top" wrapText="1"/>
    </x:xf>
    <x:xf numFmtId="200" fontId="0" fillId="5" borderId="0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 applyAlignment="1">
      <x:alignment vertical="top" wrapText="1"/>
    </x:xf>
    <x:xf numFmtId="200" fontId="0" fillId="6" borderId="0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1" fillId="8" borderId="0" xfId="0" applyNumberFormat="1" applyFont="1" applyFill="1" applyBorder="1" applyAlignment="1">
      <x:alignment horizontal="center" vertical="center" wrapText="1"/>
    </x:xf>
    <x:xf numFmtId="202" fontId="0" fillId="0" borderId="0" xfId="0" applyNumberFormat="1" applyFont="1" applyFill="1" applyBorder="1"/>
    <x:xf numFmtId="202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4301179322d4ca6" /><Relationship Type="http://schemas.openxmlformats.org/officeDocument/2006/relationships/theme" Target="/xl/theme/theme1.xml" Id="R917b9be262314706" /><Relationship Type="http://schemas.openxmlformats.org/officeDocument/2006/relationships/sharedStrings" Target="/xl/sharedStrings.xml" Id="R4ec54b3d086943f3" /><Relationship Type="http://schemas.openxmlformats.org/officeDocument/2006/relationships/worksheet" Target="/xl/worksheets/sheet1.xml" Id="R29e3c1881afc4c80" /><Relationship Type="http://schemas.openxmlformats.org/officeDocument/2006/relationships/worksheet" Target="/xl/worksheets/sheet2.xml" Id="R6084bdfde0be4b13" /><Relationship Type="http://schemas.openxmlformats.org/officeDocument/2006/relationships/worksheet" Target="/xl/worksheets/sheet3.xml" Id="R81f4f3a15ec24402" /><Relationship Type="http://schemas.openxmlformats.org/officeDocument/2006/relationships/worksheet" Target="/xl/worksheets/sheet4.xml" Id="R2a40b3519dda442d" /><Relationship Type="http://schemas.openxmlformats.org/officeDocument/2006/relationships/worksheet" Target="/xl/worksheets/sheet5.xml" Id="R4861c041fc7d4abd" /><Relationship Type="http://schemas.openxmlformats.org/officeDocument/2006/relationships/worksheet" Target="/xl/worksheets/sheet6.xml" Id="R8d49ff6253bd4fab" /></Relationships>
</file>

<file path=xl/tables/table1.xml><?xml version="1.0" encoding="utf-8"?>
<x:table xmlns:x="http://schemas.openxmlformats.org/spreadsheetml/2006/main" id="1" name="AndreyCatalogoVisible" displayName="AndreyCatalogoVisible" ref="A1:Q108" headerRowCount="1">
  <x:tableColumns count="17">
    <x:tableColumn id="1" name="N°"/>
    <x:tableColumn id="2" name="Producto visible"/>
    <x:tableColumn id="3" name="Categoría visible"/>
    <x:tableColumn id="4" name="Categoría final"/>
    <x:tableColumn id="5" name="Subcategoría interpretada"/>
    <x:tableColumn id="6" name="Stock visible"/>
    <x:tableColumn id="7" name="Estado stock"/>
    <x:tableColumn id="8" name="Precio proveedor"/>
    <x:tableColumn id="9" name="Precio sugerido"/>
    <x:tableColumn id="10" name="Tipo visible"/>
    <x:tableColumn id="11" name="Etiqueta"/>
    <x:tableColumn id="12" name="Proveedor visible"/>
    <x:tableColumn id="13" name="Fuente screenshot"/>
    <x:tableColumn id="14" name="Notas crudas"/>
    <x:tableColumn id="15" name="Diferencia precio"/>
    <x:tableColumn id="16" name="% markup sobre proveedor"/>
    <x:tableColumn id="17" name="Registro válido para análisis"/>
  </x:tableColumns>
  <x:tableStyleInfo name="TableStyleMedium2" showRowStripes="1"/>
</x:table>
</file>

<file path=xl/tables/table2.xml><?xml version="1.0" encoding="utf-8"?>
<x:table xmlns:x="http://schemas.openxmlformats.org/spreadsheetml/2006/main" id="3" name="AndreyDetalleProductos" displayName="AndreyDetalleProductos" ref="A1:Y2" headerRowCount="1">
  <x:tableColumns count="25">
    <x:tableColumn id="1" name="N°"/>
    <x:tableColumn id="2" name="ID producto"/>
    <x:tableColumn id="3" name="Producto"/>
    <x:tableColumn id="4" name="SKU"/>
    <x:tableColumn id="5" name="Categoría visible"/>
    <x:tableColumn id="6" name="Categoría final"/>
    <x:tableColumn id="7" name="Tipo producto"/>
    <x:tableColumn id="8" name="Precio proveedor"/>
    <x:tableColumn id="9" name="Precio sugerido"/>
    <x:tableColumn id="10" name="Stock público"/>
    <x:tableColumn id="11" name="Stock privado"/>
    <x:tableColumn id="12" name="Disponible en"/>
    <x:tableColumn id="13" name="Bodega"/>
    <x:tableColumn id="14" name="Cantidad imágenes visibles"/>
    <x:tableColumn id="15" name="Tiene descripción"/>
    <x:tableColumn id="16" name="Descripción excede screenshot"/>
    <x:tableColumn id="17" name="Tipo descripción"/>
    <x:tableColumn id="18" name="Beneficios visibles"/>
    <x:tableColumn id="19" name="Modo de uso visible"/>
    <x:tableColumn id="20" name="Especificaciones visibles"/>
    <x:tableColumn id="21" name="Garantías visibles"/>
    <x:tableColumn id="22" name="Recursos adicionales visibles"/>
    <x:tableColumn id="23" name="Texto genérico repetido"/>
    <x:tableColumn id="24" name="Pantallazo fuente"/>
    <x:tableColumn id="25" name="Observación cruda"/>
  </x:tableColumns>
  <x:tableStyleInfo name="TableStyleMedium2" showRowStripes="1"/>
</x:table>
</file>

<file path=xl/tables/table3.xml><?xml version="1.0" encoding="utf-8"?>
<x:table xmlns:x="http://schemas.openxmlformats.org/spreadsheetml/2006/main" id="2" name="AndreyDataFaltante" displayName="AndreyDataFaltante" ref="A1:C13" headerRowCount="1">
  <x:tableColumns count="3">
    <x:tableColumn id="1" name="Data faltante / no disponible"/>
    <x:tableColumn id="2" name="Estado"/>
    <x:tableColumn id="3" name="Comentario / pregunta para Data-BI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55806d150924e9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4d95a22925f498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954b57c55904f5c" /></Relationships>
</file>

<file path=xl/worksheets/sheet1.xml><?xml version="1.0" encoding="utf-8"?>
<x:worksheet xmlns:x="http://schemas.openxmlformats.org/spreadsheetml/2006/main">
  <x:sheetFormatPr defaultRowHeight="15"/>
  <x:cols>
    <x:col min="1" max="1" width="21.530000686645508" hidden="0" customWidth="1"/>
    <x:col min="2" max="2" width="79.54000091552734" hidden="0" customWidth="1"/>
    <x:col min="4" max="4" width="22.06999969482422" hidden="0" customWidth="1"/>
    <x:col min="5" max="5" width="17.899999618530273" hidden="0" customWidth="1"/>
  </x:cols>
  <x:sheetData>
    <x:row r="1">
      <x:c r="A1" s="6" t="str">
        <x:v>Campo</x:v>
      </x:c>
      <x:c r="B1" s="6" t="str">
        <x:v>Valor</x:v>
      </x:c>
      <x:c r="C1" s="20"/>
      <x:c r="D1" s="21" t="str">
        <x:v>Resumen muestra catálogo</x:v>
      </x:c>
      <x:c r="E1" s="20" t="str"/>
      <x:c r="F1" s="20"/>
      <x:c r="G1" s="20"/>
      <x:c r="H1" s="20"/>
      <x:c r="I1" s="20"/>
      <x:c r="J1" s="20"/>
      <x:c r="K1" s="20"/>
      <x:c r="L1" s="20"/>
      <x:c r="M1" s="20"/>
      <x:c r="N1" s="20"/>
      <x:c r="O1" s="20"/>
      <x:c r="P1" s="20"/>
      <x:c r="Q1" s="20"/>
      <x:c r="R1" s="20"/>
      <x:c r="S1" s="20"/>
      <x:c r="T1" s="20"/>
      <x:c r="U1" s="20"/>
      <x:c r="V1" s="20"/>
      <x:c r="W1" s="20"/>
      <x:c r="X1" s="20"/>
      <x:c r="Y1" s="20"/>
      <x:c r="Z1" s="20"/>
    </x:row>
    <x:row r="2">
      <x:c r="A2" t="str">
        <x:v>Supplier</x:v>
      </x:c>
      <x:c r="B2" t="str">
        <x:v>Stockeado + Andrey Business</x:v>
      </x:c>
      <x:c r="D2" s="6" t="str">
        <x:v>Categoría final</x:v>
      </x:c>
      <x:c r="E2" s="6" t="str">
        <x:v>Productos en muestra</x:v>
      </x:c>
    </x:row>
    <x:row r="3">
      <x:c r="A3" t="str">
        <x:v>Alias / referencia</x:v>
      </x:c>
      <x:c r="B3" t="str">
        <x:v>Andrey Rojas</x:v>
      </x:c>
      <x:c r="D3" t="str">
        <x:v>Hogar</x:v>
      </x:c>
      <x:c r="E3" t="n">
        <x:v>22</x:v>
      </x:c>
    </x:row>
    <x:row r="4">
      <x:c r="A4" t="str">
        <x:v>Estado visible</x:v>
      </x:c>
      <x:c r="B4" t="str">
        <x:v>Exclusivo</x:v>
      </x:c>
      <x:c r="D4" t="str">
        <x:v>Bienestar</x:v>
      </x:c>
      <x:c r="E4" t="n">
        <x:v>14</x:v>
      </x:c>
    </x:row>
    <x:row r="5">
      <x:c r="A5" t="str">
        <x:v>En Dropi desde</x:v>
      </x:c>
      <x:c r="B5" t="str">
        <x:v>04/07/2023</x:v>
      </x:c>
      <x:c r="D5" t="str">
        <x:v>Belleza</x:v>
      </x:c>
      <x:c r="E5" t="n">
        <x:v>12</x:v>
      </x:c>
    </x:row>
    <x:row r="6">
      <x:c r="A6" t="str">
        <x:v>Última conexión visible</x:v>
      </x:c>
      <x:c r="B6" t="str">
        <x:v>23/05/2026</x:v>
      </x:c>
      <x:c r="D6" t="str">
        <x:v>Bisutería</x:v>
      </x:c>
      <x:c r="E6" t="n">
        <x:v>11</x:v>
      </x:c>
    </x:row>
    <x:row r="7">
      <x:c r="A7" t="str">
        <x:v>Productos visibles en perfil</x:v>
      </x:c>
      <x:c r="B7" t="n">
        <x:v>529</x:v>
      </x:c>
      <x:c r="D7" t="str">
        <x:v>Herramientas</x:v>
      </x:c>
      <x:c r="E7" t="n">
        <x:v>11</x:v>
      </x:c>
    </x:row>
    <x:row r="8">
      <x:c r="A8" t="str">
        <x:v>Órdenes históricas</x:v>
      </x:c>
      <x:c r="B8" t="n">
        <x:v>13575</x:v>
      </x:c>
      <x:c r="D8" t="str">
        <x:v>Vehículos</x:v>
      </x:c>
      <x:c r="E8" t="n">
        <x:v>10</x:v>
      </x:c>
    </x:row>
    <x:row r="9">
      <x:c r="A9" t="str">
        <x:v>Dropshippers</x:v>
      </x:c>
      <x:c r="B9" t="n">
        <x:v>2047</x:v>
      </x:c>
      <x:c r="D9" t="str">
        <x:v>Moda</x:v>
      </x:c>
      <x:c r="E9" t="n">
        <x:v>8</x:v>
      </x:c>
    </x:row>
    <x:row r="10">
      <x:c r="A10" t="str">
        <x:v>Tiempo de despacho</x:v>
      </x:c>
      <x:c r="B10" t="str">
        <x:v>6 h</x:v>
      </x:c>
      <x:c r="D10" t="str">
        <x:v>Cocina</x:v>
      </x:c>
      <x:c r="E10" t="n">
        <x:v>4</x:v>
      </x:c>
    </x:row>
    <x:row r="11">
      <x:c r="A11" t="str">
        <x:v>Bodegas visibles</x:v>
      </x:c>
      <x:c r="B11" t="str">
        <x:v>Cali, Yumbo</x:v>
      </x:c>
      <x:c r="D11" t="str">
        <x:v>Deportes</x:v>
      </x:c>
      <x:c r="E11" t="n">
        <x:v>3</x:v>
      </x:c>
    </x:row>
    <x:row r="12">
      <x:c r="A12" t="str">
        <x:v>Calificación últimos 30 días</x:v>
      </x:c>
      <x:c r="B12" t="str">
        <x:v>Estable</x:v>
      </x:c>
      <x:c r="D12" t="str">
        <x:v>Juguetería</x:v>
      </x:c>
      <x:c r="E12" t="n">
        <x:v>3</x:v>
      </x:c>
    </x:row>
    <x:row r="13">
      <x:c r="A13" t="str">
        <x:v>Despachos</x:v>
      </x:c>
      <x:c r="B13" t="str">
        <x:v>Envía rápido y sin demoras</x:v>
      </x:c>
      <x:c r="D13" t="str">
        <x:v>Tecnología</x:v>
      </x:c>
      <x:c r="E13" t="n">
        <x:v>3</x:v>
      </x:c>
    </x:row>
    <x:row r="14">
      <x:c r="A14" t="str">
        <x:v>Cumplimiento</x:v>
      </x:c>
      <x:c r="B14" t="str">
        <x:v>Pocos rechazos y cancelaciones</x:v>
      </x:c>
      <x:c r="D14" t="str">
        <x:v>Mascotas</x:v>
      </x:c>
      <x:c r="E14" t="n">
        <x:v>2</x:v>
      </x:c>
    </x:row>
    <x:row r="15">
      <x:c r="A15" t="str">
        <x:v>Postventa</x:v>
      </x:c>
      <x:c r="B15" t="str">
        <x:v>Más reclamos de lo habitual</x:v>
      </x:c>
      <x:c r="D15" t="str">
        <x:v>Otro</x:v>
      </x:c>
      <x:c r="E15" t="n">
        <x:v>2</x:v>
      </x:c>
    </x:row>
    <x:row r="16">
      <x:c r="A16" t="str">
        <x:v>Decisión metodológica</x:v>
      </x:c>
      <x:c r="B16" t="str">
        <x:v>VITALCOM excluido del benchmark principal por ser marca; continuar benchmark con Andrey Rojas.</x:v>
      </x:c>
      <x:c r="D16" t="str">
        <x:v>Bebé</x:v>
      </x:c>
      <x:c r="E16" t="n">
        <x:v>1</x:v>
      </x:c>
    </x:row>
    <x:row r="17">
      <x:c r="A17" t="str">
        <x:v>Fecha de captura</x:v>
      </x:c>
      <x:c r="B17" t="str">
        <x:v>2026-05-28</x:v>
      </x:c>
      <x:c r="D17" t="str">
        <x:v>Camping</x:v>
      </x:c>
      <x:c r="E17" t="n">
        <x:v>1</x:v>
      </x:c>
    </x:row>
    <x:row r="18">
      <x:c r="A18" t="str">
        <x:v>Detalle productos registrados</x:v>
      </x:c>
      <x:c r="B18" t="n">
        <x:v>16</x:v>
      </x:c>
    </x:row>
  </x:sheetData>
  <x:mergeCells>
    <x:mergeCell ref="D1:E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.9600000381469727" hidden="0" customWidth="1"/>
    <x:col min="2" max="2" width="32" hidden="0" customWidth="1"/>
    <x:col min="3" max="3" width="18" hidden="0" customWidth="1"/>
    <x:col min="4" max="4" width="18" hidden="0" customWidth="1"/>
    <x:col min="5" max="5" width="18" hidden="0" customWidth="1"/>
    <x:col min="6" max="6" width="10.09000015258789" hidden="0" customWidth="1"/>
    <x:col min="7" max="7" width="21.1299991607666" hidden="0" customWidth="1"/>
    <x:col min="8" max="8" width="14" hidden="0" customWidth="1"/>
    <x:col min="9" max="9" width="12.520000457763672" hidden="0" customWidth="1"/>
    <x:col min="10" max="10" width="9.149999618530273" hidden="0" customWidth="1"/>
    <x:col min="11" max="11" width="7.130000114440918" hidden="0" customWidth="1"/>
    <x:col min="12" max="12" width="26.3799991607666" hidden="0" customWidth="1"/>
    <x:col min="13" max="13" width="14.9399995803833" hidden="0" customWidth="1"/>
    <x:col min="14" max="14" width="28" hidden="0" customWidth="1"/>
    <x:col min="15" max="15" width="13.859999656677246" hidden="0" customWidth="1"/>
    <x:col min="16" max="16" width="22.06999969482422" hidden="0" customWidth="1"/>
    <x:col min="17" max="17" width="22.610000610351562" hidden="0" customWidth="1"/>
  </x:cols>
  <x:sheetData>
    <x:row r="1">
      <x:c r="A1" s="6" t="str">
        <x:v>N°</x:v>
      </x:c>
      <x:c r="B1" s="6" t="str">
        <x:v>Producto visible</x:v>
      </x:c>
      <x:c r="C1" s="6" t="str">
        <x:v>Categoría visible</x:v>
      </x:c>
      <x:c r="D1" s="6" t="str">
        <x:v>Categoría final</x:v>
      </x:c>
      <x:c r="E1" s="6" t="str">
        <x:v>Subcategoría interpretada</x:v>
      </x:c>
      <x:c r="F1" s="6" t="str">
        <x:v>Stock visible</x:v>
      </x:c>
      <x:c r="G1" s="6" t="str">
        <x:v>Estado stock</x:v>
      </x:c>
      <x:c r="H1" s="6" t="str">
        <x:v>Precio proveedor</x:v>
      </x:c>
      <x:c r="I1" s="6" t="str">
        <x:v>Precio sugerido</x:v>
      </x:c>
      <x:c r="J1" s="6" t="str">
        <x:v>Tipo visible</x:v>
      </x:c>
      <x:c r="K1" s="6" t="str">
        <x:v>Etiqueta</x:v>
      </x:c>
      <x:c r="L1" s="6" t="str">
        <x:v>Proveedor visible</x:v>
      </x:c>
      <x:c r="M1" s="6" t="str">
        <x:v>Fuente screenshot</x:v>
      </x:c>
      <x:c r="N1" s="6" t="str">
        <x:v>Notas crudas</x:v>
      </x:c>
      <x:c r="O1" s="6" t="str">
        <x:v>Diferencia precio</x:v>
      </x:c>
      <x:c r="P1" s="6" t="str">
        <x:v>% markup sobre proveedor</x:v>
      </x:c>
      <x:c r="Q1" s="6" t="str">
        <x:v>Registro válido para análisis</x:v>
      </x:c>
      <x:c r="R1" s="20"/>
      <x:c r="S1" s="20"/>
      <x:c r="T1" s="20"/>
      <x:c r="U1" s="20"/>
      <x:c r="V1" s="20"/>
      <x:c r="W1" s="20"/>
      <x:c r="X1" s="20"/>
      <x:c r="Y1" s="20"/>
      <x:c r="Z1" s="20"/>
    </x:row>
    <x:row r="2">
      <x:c r="A2" t="n">
        <x:v>1</x:v>
      </x:c>
      <x:c r="B2" t="str">
        <x:v>Cinturon Vibratorio</x:v>
      </x:c>
      <x:c r="C2" t="str">
        <x:v>Salud</x:v>
      </x:c>
      <x:c r="D2" t="str">
        <x:v>Bienestar</x:v>
      </x:c>
      <x:c r="E2" t="str">
        <x:v>Masaje / fitness</x:v>
      </x:c>
      <x:c r="F2" t="n">
        <x:v>884</x:v>
      </x:c>
      <x:c r="G2" t="str">
        <x:v>Disponible</x:v>
      </x:c>
      <x:c r="H2" s="24" t="n">
        <x:v>49900</x:v>
      </x:c>
      <x:c r="I2" s="24" t="n">
        <x:v>69900</x:v>
      </x:c>
      <x:c r="J2" s="24" t="str">
        <x:v>No visible</x:v>
      </x:c>
      <x:c r="K2" t="str">
        <x:v>Exclusivo</x:v>
      </x:c>
      <x:c r="L2" t="str">
        <x:v>STOCKEADO + ANDREY BUSINESS</x:v>
      </x:c>
      <x:c r="M2" t="str">
        <x:v>catalogo_1</x:v>
      </x:c>
      <x:c r="N2" t="str"/>
      <x:c r="O2" s="24" t="n">
        <x:f>IF(OR(H2="",I2=""),"",I2-H2)</x:f>
        <x:v>20000</x:v>
      </x:c>
      <x:c r="P2" s="26" t="n">
        <x:f>IF(OR(H2="",I2="",H2=0),"",(I2-H2)/H2)</x:f>
        <x:v>0.40080160320641284</x:v>
      </x:c>
      <x:c r="Q2" t="str">
        <x:f>IF(B2&lt;&gt;"","Sí","No")</x:f>
        <x:v>Sí</x:v>
      </x:c>
    </x:row>
    <x:row r="3">
      <x:c r="A3" t="n">
        <x:v>2</x:v>
      </x:c>
      <x:c r="B3" t="str">
        <x:v>Brakerpro</x:v>
      </x:c>
      <x:c r="C3" t="str">
        <x:v>Otro</x:v>
      </x:c>
      <x:c r="D3" t="str">
        <x:v>Otro</x:v>
      </x:c>
      <x:c r="E3" t="str">
        <x:v>Accesorio / no claro</x:v>
      </x:c>
      <x:c r="F3" t="n">
        <x:v>9</x:v>
      </x:c>
      <x:c r="G3" t="str">
        <x:v>Disponible</x:v>
      </x:c>
      <x:c r="H3" s="24" t="n">
        <x:v>27900</x:v>
      </x:c>
      <x:c r="I3" s="24" t="n">
        <x:v>39900</x:v>
      </x:c>
      <x:c r="J3" s="24" t="str">
        <x:v>No visible</x:v>
      </x:c>
      <x:c r="K3" t="str">
        <x:v>Exclusivo</x:v>
      </x:c>
      <x:c r="L3" t="str">
        <x:v>STOCKEADO + ANDREY BUSINESS</x:v>
      </x:c>
      <x:c r="M3" t="str">
        <x:v>catalogo_1</x:v>
      </x:c>
      <x:c r="N3" t="str"/>
      <x:c r="O3" s="24" t="n">
        <x:f>IF(OR(H3="",I3=""),"",I3-H3)</x:f>
        <x:v>12000</x:v>
      </x:c>
      <x:c r="P3" s="26" t="n">
        <x:f>IF(OR(H3="",I3="",H3=0),"",(I3-H3)/H3)</x:f>
        <x:v>0.43010752688172044</x:v>
      </x:c>
      <x:c r="Q3" t="str">
        <x:f>IF(B3&lt;&gt;"","Sí","No")</x:f>
        <x:v>Sí</x:v>
      </x:c>
    </x:row>
    <x:row r="4">
      <x:c r="A4" t="n">
        <x:v>3</x:v>
      </x:c>
      <x:c r="B4" t="str">
        <x:v>Plantillas Unas X144</x:v>
      </x:c>
      <x:c r="C4" t="str">
        <x:v>Belleza</x:v>
      </x:c>
      <x:c r="D4" t="str">
        <x:v>Belleza</x:v>
      </x:c>
      <x:c r="E4" t="str">
        <x:v>Uñas</x:v>
      </x:c>
      <x:c r="F4" t="n">
        <x:v>5</x:v>
      </x:c>
      <x:c r="G4" t="str">
        <x:v>Disponible</x:v>
      </x:c>
      <x:c r="H4" s="24" t="n">
        <x:v>10900</x:v>
      </x:c>
      <x:c r="I4" s="24" t="n">
        <x:v>30900</x:v>
      </x:c>
      <x:c r="J4" s="24" t="str">
        <x:v>No visible</x:v>
      </x:c>
      <x:c r="K4" t="str">
        <x:v>Exclusivo</x:v>
      </x:c>
      <x:c r="L4" t="str">
        <x:v>STOCKEADO + ANDREY BUSINESS</x:v>
      </x:c>
      <x:c r="M4" t="str">
        <x:v>catalogo_1</x:v>
      </x:c>
      <x:c r="N4" t="str"/>
      <x:c r="O4" s="24" t="n">
        <x:f>IF(OR(H4="",I4=""),"",I4-H4)</x:f>
        <x:v>20000</x:v>
      </x:c>
      <x:c r="P4" s="26" t="n">
        <x:f>IF(OR(H4="",I4="",H4=0),"",(I4-H4)/H4)</x:f>
        <x:v>1.834862385321101</x:v>
      </x:c>
      <x:c r="Q4" t="str">
        <x:f>IF(B4&lt;&gt;"","Sí","No")</x:f>
        <x:v>Sí</x:v>
      </x:c>
    </x:row>
    <x:row r="5">
      <x:c r="A5" t="n">
        <x:v>4</x:v>
      </x:c>
      <x:c r="B5" t="str">
        <x:v>Arete Cristal</x:v>
      </x:c>
      <x:c r="C5" t="str">
        <x:v>Bisutería</x:v>
      </x:c>
      <x:c r="D5" t="str">
        <x:v>Bisutería</x:v>
      </x:c>
      <x:c r="E5" t="str">
        <x:v>Aretes</x:v>
      </x:c>
      <x:c r="F5" t="n">
        <x:v>14</x:v>
      </x:c>
      <x:c r="G5" t="str">
        <x:v>Disponible</x:v>
      </x:c>
      <x:c r="H5" s="24" t="n">
        <x:v>10900</x:v>
      </x:c>
      <x:c r="I5" s="24" t="n">
        <x:v>22900</x:v>
      </x:c>
      <x:c r="J5" s="24" t="str">
        <x:v>Variable</x:v>
      </x:c>
      <x:c r="K5" t="str">
        <x:v>Exclusivo</x:v>
      </x:c>
      <x:c r="L5" t="str">
        <x:v>STOCKEADO + ANDREY BUSINESS</x:v>
      </x:c>
      <x:c r="M5" t="str">
        <x:v>catalogo_1</x:v>
      </x:c>
      <x:c r="N5" t="str"/>
      <x:c r="O5" s="24" t="n">
        <x:f>IF(OR(H5="",I5=""),"",I5-H5)</x:f>
        <x:v>12000</x:v>
      </x:c>
      <x:c r="P5" s="26" t="n">
        <x:f>IF(OR(H5="",I5="",H5=0),"",(I5-H5)/H5)</x:f>
        <x:v>1.1009174311926606</x:v>
      </x:c>
      <x:c r="Q5" t="str">
        <x:f>IF(B5&lt;&gt;"","Sí","No")</x:f>
        <x:v>Sí</x:v>
      </x:c>
    </x:row>
    <x:row r="6">
      <x:c r="A6" t="n">
        <x:v>5</x:v>
      </x:c>
      <x:c r="B6" t="str">
        <x:v>Multimetro Digital Inteligente</x:v>
      </x:c>
      <x:c r="C6" t="str">
        <x:v>Herramientas</x:v>
      </x:c>
      <x:c r="D6" t="str">
        <x:v>Herramientas</x:v>
      </x:c>
      <x:c r="E6" t="str">
        <x:v>Medición eléctrica</x:v>
      </x:c>
      <x:c r="F6" t="n">
        <x:v>12</x:v>
      </x:c>
      <x:c r="G6" t="str">
        <x:v>Disponible</x:v>
      </x:c>
      <x:c r="H6" s="24" t="n">
        <x:v>55900</x:v>
      </x:c>
      <x:c r="I6" s="24" t="n">
        <x:v>89900</x:v>
      </x:c>
      <x:c r="J6" s="24" t="str">
        <x:v>No visible</x:v>
      </x:c>
      <x:c r="K6" t="str">
        <x:v>Exclusivo</x:v>
      </x:c>
      <x:c r="L6" t="str">
        <x:v>STOCKEADO + ANDREY BUSINESS</x:v>
      </x:c>
      <x:c r="M6" t="str">
        <x:v>catalogo_1</x:v>
      </x:c>
      <x:c r="N6" t="str"/>
      <x:c r="O6" s="24" t="n">
        <x:f>IF(OR(H6="",I6=""),"",I6-H6)</x:f>
        <x:v>34000</x:v>
      </x:c>
      <x:c r="P6" s="26" t="n">
        <x:f>IF(OR(H6="",I6="",H6=0),"",(I6-H6)/H6)</x:f>
        <x:v>0.6082289803220036</x:v>
      </x:c>
      <x:c r="Q6" t="str">
        <x:f>IF(B6&lt;&gt;"","Sí","No")</x:f>
        <x:v>Sí</x:v>
      </x:c>
    </x:row>
    <x:row r="7">
      <x:c r="A7" t="n">
        <x:v>6</x:v>
      </x:c>
      <x:c r="B7" t="str">
        <x:v>Cepillo Alisador One Step 3 En 1</x:v>
      </x:c>
      <x:c r="C7" t="str">
        <x:v>Tecnología</x:v>
      </x:c>
      <x:c r="D7" t="str">
        <x:v>Belleza</x:v>
      </x:c>
      <x:c r="E7" t="str">
        <x:v>Cabello / alisador</x:v>
      </x:c>
      <x:c r="F7" t="n">
        <x:v>253</x:v>
      </x:c>
      <x:c r="G7" t="str">
        <x:v>Disponible</x:v>
      </x:c>
      <x:c r="H7" s="24" t="n">
        <x:v>34900</x:v>
      </x:c>
      <x:c r="I7" s="24" t="n">
        <x:v>49900</x:v>
      </x:c>
      <x:c r="J7" s="24" t="str">
        <x:v>No visible</x:v>
      </x:c>
      <x:c r="K7" t="str">
        <x:v>Exclusivo</x:v>
      </x:c>
      <x:c r="L7" t="str">
        <x:v>STOCKEADO + ANDREY BUSINESS</x:v>
      </x:c>
      <x:c r="M7" t="str">
        <x:v>catalogo_1</x:v>
      </x:c>
      <x:c r="N7" t="str"/>
      <x:c r="O7" s="24" t="n">
        <x:f>IF(OR(H7="",I7=""),"",I7-H7)</x:f>
        <x:v>15000</x:v>
      </x:c>
      <x:c r="P7" s="26" t="n">
        <x:f>IF(OR(H7="",I7="",H7=0),"",(I7-H7)/H7)</x:f>
        <x:v>0.4297994269340974</x:v>
      </x:c>
      <x:c r="Q7" t="str">
        <x:f>IF(B7&lt;&gt;"","Sí","No")</x:f>
        <x:v>Sí</x:v>
      </x:c>
    </x:row>
    <x:row r="8">
      <x:c r="A8" t="n">
        <x:v>7</x:v>
      </x:c>
      <x:c r="B8" t="str">
        <x:v>Puntas Inyectoras De Engrase</x:v>
      </x:c>
      <x:c r="C8" t="str">
        <x:v>Herramientas</x:v>
      </x:c>
      <x:c r="D8" t="str">
        <x:v>Herramientas</x:v>
      </x:c>
      <x:c r="E8" t="str">
        <x:v>Accesorio técnico</x:v>
      </x:c>
      <x:c r="F8" t="n">
        <x:v>9</x:v>
      </x:c>
      <x:c r="G8" t="str">
        <x:v>Disponible</x:v>
      </x:c>
      <x:c r="H8" s="24" t="n">
        <x:v>15900</x:v>
      </x:c>
      <x:c r="I8" s="24" t="n">
        <x:v>35900</x:v>
      </x:c>
      <x:c r="J8" s="24" t="str">
        <x:v>No visible</x:v>
      </x:c>
      <x:c r="K8" t="str">
        <x:v>Exclusivo</x:v>
      </x:c>
      <x:c r="L8" t="str">
        <x:v>STOCKEADO + ANDREY BUSINESS</x:v>
      </x:c>
      <x:c r="M8" t="str">
        <x:v>catalogo_1</x:v>
      </x:c>
      <x:c r="N8" t="str"/>
      <x:c r="O8" s="24" t="n">
        <x:f>IF(OR(H8="",I8=""),"",I8-H8)</x:f>
        <x:v>20000</x:v>
      </x:c>
      <x:c r="P8" s="26" t="n">
        <x:f>IF(OR(H8="",I8="",H8=0),"",(I8-H8)/H8)</x:f>
        <x:v>1.2578616352201257</x:v>
      </x:c>
      <x:c r="Q8" t="str">
        <x:f>IF(B8&lt;&gt;"","Sí","No")</x:f>
        <x:v>Sí</x:v>
      </x:c>
    </x:row>
    <x:row r="9">
      <x:c r="A9" t="n">
        <x:v>8</x:v>
      </x:c>
      <x:c r="B9" t="str">
        <x:v>Conectores De Soldadura X 100 Unds</x:v>
      </x:c>
      <x:c r="C9" t="str">
        <x:v>Otro</x:v>
      </x:c>
      <x:c r="D9" t="str">
        <x:v>Herramientas</x:v>
      </x:c>
      <x:c r="E9" t="str">
        <x:v>Soldadura</x:v>
      </x:c>
      <x:c r="F9" t="n">
        <x:v>7</x:v>
      </x:c>
      <x:c r="G9" t="str">
        <x:v>Disponible</x:v>
      </x:c>
      <x:c r="H9" s="24" t="n">
        <x:v>29900</x:v>
      </x:c>
      <x:c r="I9" s="24" t="n">
        <x:v>49900</x:v>
      </x:c>
      <x:c r="J9" s="24" t="str">
        <x:v>No visible</x:v>
      </x:c>
      <x:c r="K9" t="str">
        <x:v>Exclusivo</x:v>
      </x:c>
      <x:c r="L9" t="str">
        <x:v>STOCKEADO + ANDREY BUSINESS</x:v>
      </x:c>
      <x:c r="M9" t="str">
        <x:v>catalogo_1</x:v>
      </x:c>
      <x:c r="N9" t="str"/>
      <x:c r="O9" s="24" t="n">
        <x:f>IF(OR(H9="",I9=""),"",I9-H9)</x:f>
        <x:v>20000</x:v>
      </x:c>
      <x:c r="P9" s="26" t="n">
        <x:f>IF(OR(H9="",I9="",H9=0),"",(I9-H9)/H9)</x:f>
        <x:v>0.6688963210702341</x:v>
      </x:c>
      <x:c r="Q9" t="str">
        <x:f>IF(B9&lt;&gt;"","Sí","No")</x:f>
        <x:v>Sí</x:v>
      </x:c>
    </x:row>
    <x:row r="10">
      <x:c r="A10" t="n">
        <x:v>9</x:v>
      </x:c>
      <x:c r="B10" t="str">
        <x:v>Lampara Creativa Tablero Led De Notas</x:v>
      </x:c>
      <x:c r="C10" t="str">
        <x:v>Moda</x:v>
      </x:c>
      <x:c r="D10" t="str">
        <x:v>Hogar</x:v>
      </x:c>
      <x:c r="E10" t="str">
        <x:v>Decoración / lámpara</x:v>
      </x:c>
      <x:c r="F10" t="n">
        <x:v>85</x:v>
      </x:c>
      <x:c r="G10" t="str">
        <x:v>Disponible</x:v>
      </x:c>
      <x:c r="H10" s="24" t="n">
        <x:v>17900</x:v>
      </x:c>
      <x:c r="I10" s="24" t="n">
        <x:v>47900</x:v>
      </x:c>
      <x:c r="J10" s="24" t="str">
        <x:v>No visible</x:v>
      </x:c>
      <x:c r="K10" t="str">
        <x:v>Exclusivo</x:v>
      </x:c>
      <x:c r="L10" t="str">
        <x:v>STOCKEADO + ANDREY BUSINESS</x:v>
      </x:c>
      <x:c r="M10" t="str">
        <x:v>catalogo_1</x:v>
      </x:c>
      <x:c r="N10" t="str"/>
      <x:c r="O10" s="24" t="n">
        <x:f>IF(OR(H10="",I10=""),"",I10-H10)</x:f>
        <x:v>30000</x:v>
      </x:c>
      <x:c r="P10" s="26" t="n">
        <x:f>IF(OR(H10="",I10="",H10=0),"",(I10-H10)/H10)</x:f>
        <x:v>1.675977653631285</x:v>
      </x:c>
      <x:c r="Q10" t="str">
        <x:f>IF(B10&lt;&gt;"","Sí","No")</x:f>
        <x:v>Sí</x:v>
      </x:c>
    </x:row>
    <x:row r="11">
      <x:c r="A11" t="n">
        <x:v>10</x:v>
      </x:c>
      <x:c r="B11" t="str">
        <x:v>Cortador De Verduras</x:v>
      </x:c>
      <x:c r="C11" t="str">
        <x:v>Cocina</x:v>
      </x:c>
      <x:c r="D11" t="str">
        <x:v>Cocina</x:v>
      </x:c>
      <x:c r="E11" t="str">
        <x:v>Utensilio</x:v>
      </x:c>
      <x:c r="F11" t="n">
        <x:v>139</x:v>
      </x:c>
      <x:c r="G11" t="str">
        <x:v>Disponible</x:v>
      </x:c>
      <x:c r="H11" s="24" t="n">
        <x:v>26900</x:v>
      </x:c>
      <x:c r="I11" s="24" t="n">
        <x:v>58900</x:v>
      </x:c>
      <x:c r="J11" s="24" t="str">
        <x:v>No visible</x:v>
      </x:c>
      <x:c r="K11" t="str">
        <x:v>Exclusivo</x:v>
      </x:c>
      <x:c r="L11" t="str">
        <x:v>STOCKEADO + ANDREY BUSINESS</x:v>
      </x:c>
      <x:c r="M11" t="str">
        <x:v>catalogo_1</x:v>
      </x:c>
      <x:c r="N11" t="str"/>
      <x:c r="O11" s="24" t="n">
        <x:f>IF(OR(H11="",I11=""),"",I11-H11)</x:f>
        <x:v>32000</x:v>
      </x:c>
      <x:c r="P11" s="26" t="n">
        <x:f>IF(OR(H11="",I11="",H11=0),"",(I11-H11)/H11)</x:f>
        <x:v>1.1895910780669146</x:v>
      </x:c>
      <x:c r="Q11" t="str">
        <x:f>IF(B11&lt;&gt;"","Sí","No")</x:f>
        <x:v>Sí</x:v>
      </x:c>
    </x:row>
    <x:row r="12">
      <x:c r="A12" t="n">
        <x:v>11</x:v>
      </x:c>
      <x:c r="B12" t="str">
        <x:v>Pendientes Estilo Frances</x:v>
      </x:c>
      <x:c r="C12" t="str">
        <x:v>Bisutería</x:v>
      </x:c>
      <x:c r="D12" t="str">
        <x:v>Bisutería</x:v>
      </x:c>
      <x:c r="E12" t="str">
        <x:v>Pendientes</x:v>
      </x:c>
      <x:c r="F12" t="n">
        <x:v>53</x:v>
      </x:c>
      <x:c r="G12" t="str">
        <x:v>Disponible</x:v>
      </x:c>
      <x:c r="H12" s="24" t="n">
        <x:v>11900</x:v>
      </x:c>
      <x:c r="I12" s="24" t="n">
        <x:v>29900</x:v>
      </x:c>
      <x:c r="J12" s="24" t="str">
        <x:v>No visible</x:v>
      </x:c>
      <x:c r="K12" t="str">
        <x:v>Exclusivo</x:v>
      </x:c>
      <x:c r="L12" t="str">
        <x:v>STOCKEADO + ANDREY BUSINESS</x:v>
      </x:c>
      <x:c r="M12" t="str">
        <x:v>catalogo_1</x:v>
      </x:c>
      <x:c r="N12" t="str"/>
      <x:c r="O12" s="24" t="n">
        <x:f>IF(OR(H12="",I12=""),"",I12-H12)</x:f>
        <x:v>18000</x:v>
      </x:c>
      <x:c r="P12" s="26" t="n">
        <x:f>IF(OR(H12="",I12="",H12=0),"",(I12-H12)/H12)</x:f>
        <x:v>1.5126050420168067</x:v>
      </x:c>
      <x:c r="Q12" t="str">
        <x:f>IF(B12&lt;&gt;"","Sí","No")</x:f>
        <x:v>Sí</x:v>
      </x:c>
    </x:row>
    <x:row r="13">
      <x:c r="A13" t="n">
        <x:v>12</x:v>
      </x:c>
      <x:c r="B13" t="str">
        <x:v>Set 4 Botellas De Viaje</x:v>
      </x:c>
      <x:c r="C13" t="str">
        <x:v>Cocina</x:v>
      </x:c>
      <x:c r="D13" t="str">
        <x:v>Hogar</x:v>
      </x:c>
      <x:c r="E13" t="str">
        <x:v>Viaje / recipientes</x:v>
      </x:c>
      <x:c r="F13" t="n">
        <x:v>49</x:v>
      </x:c>
      <x:c r="G13" t="str">
        <x:v>Disponible</x:v>
      </x:c>
      <x:c r="H13" s="24" t="n">
        <x:v>14900</x:v>
      </x:c>
      <x:c r="I13" s="24" t="n">
        <x:v>34900</x:v>
      </x:c>
      <x:c r="J13" s="24" t="str">
        <x:v>No visible</x:v>
      </x:c>
      <x:c r="K13" t="str">
        <x:v>Exclusivo</x:v>
      </x:c>
      <x:c r="L13" t="str">
        <x:v>STOCKEADO + ANDREY BUSINESS</x:v>
      </x:c>
      <x:c r="M13" t="str">
        <x:v>catalogo_1</x:v>
      </x:c>
      <x:c r="N13" t="str"/>
      <x:c r="O13" s="24" t="n">
        <x:f>IF(OR(H13="",I13=""),"",I13-H13)</x:f>
        <x:v>20000</x:v>
      </x:c>
      <x:c r="P13" s="26" t="n">
        <x:f>IF(OR(H13="",I13="",H13=0),"",(I13-H13)/H13)</x:f>
        <x:v>1.342281879194631</x:v>
      </x:c>
      <x:c r="Q13" t="str">
        <x:f>IF(B13&lt;&gt;"","Sí","No")</x:f>
        <x:v>Sí</x:v>
      </x:c>
    </x:row>
    <x:row r="14">
      <x:c r="A14" t="n">
        <x:v>13</x:v>
      </x:c>
      <x:c r="B14" t="str">
        <x:v>Parches Para El Alivio Del Dolor</x:v>
      </x:c>
      <x:c r="C14" t="str">
        <x:v>Salud</x:v>
      </x:c>
      <x:c r="D14" t="str">
        <x:v>Bienestar</x:v>
      </x:c>
      <x:c r="E14" t="str">
        <x:v>Parches alivio</x:v>
      </x:c>
      <x:c r="F14" t="n">
        <x:v>3034</x:v>
      </x:c>
      <x:c r="G14" t="str">
        <x:v>Disponible</x:v>
      </x:c>
      <x:c r="H14" s="24" t="n">
        <x:v>9900</x:v>
      </x:c>
      <x:c r="I14" s="24" t="n">
        <x:v>19900</x:v>
      </x:c>
      <x:c r="J14" s="24" t="str">
        <x:v>No visible</x:v>
      </x:c>
      <x:c r="K14" t="str">
        <x:v>Exclusivo</x:v>
      </x:c>
      <x:c r="L14" t="str">
        <x:v>STOCKEADO + ANDREY BUSINESS</x:v>
      </x:c>
      <x:c r="M14" t="str">
        <x:v>catalogo_1</x:v>
      </x:c>
      <x:c r="N14" t="str"/>
      <x:c r="O14" s="24" t="n">
        <x:f>IF(OR(H14="",I14=""),"",I14-H14)</x:f>
        <x:v>10000</x:v>
      </x:c>
      <x:c r="P14" s="26" t="n">
        <x:f>IF(OR(H14="",I14="",H14=0),"",(I14-H14)/H14)</x:f>
        <x:v>1.0101010101010102</x:v>
      </x:c>
      <x:c r="Q14" t="str">
        <x:f>IF(B14&lt;&gt;"","Sí","No")</x:f>
        <x:v>Sí</x:v>
      </x:c>
    </x:row>
    <x:row r="15">
      <x:c r="A15" t="n">
        <x:v>14</x:v>
      </x:c>
      <x:c r="B15" t="str">
        <x:v>Extension Scrunchie</x:v>
      </x:c>
      <x:c r="C15" t="str">
        <x:v>Moda</x:v>
      </x:c>
      <x:c r="D15" t="str">
        <x:v>Moda</x:v>
      </x:c>
      <x:c r="E15" t="str">
        <x:v>Cabello / extensión</x:v>
      </x:c>
      <x:c r="F15" t="n">
        <x:v>36</x:v>
      </x:c>
      <x:c r="G15" t="str">
        <x:v>Disponible</x:v>
      </x:c>
      <x:c r="H15" s="24" t="n">
        <x:v>16900</x:v>
      </x:c>
      <x:c r="I15" s="24"/>
      <x:c r="J15" s="24" t="str">
        <x:v>Variable</x:v>
      </x:c>
      <x:c r="K15" t="str">
        <x:v>Exclusivo</x:v>
      </x:c>
      <x:c r="L15" t="str">
        <x:v>STOCKEADO + ANDREY BUSINESS</x:v>
      </x:c>
      <x:c r="M15" t="str">
        <x:v>catalogo_1</x:v>
      </x:c>
      <x:c r="N15" t="str">
        <x:v>Precio sugerido variable/no visible</x:v>
      </x:c>
      <x:c r="O15" s="24" t="str">
        <x:f>IF(OR(H15="",I15=""),"",I15-H15)</x:f>
      </x:c>
      <x:c r="P15" s="26" t="str">
        <x:f>IF(OR(H15="",I15="",H15=0),"",(I15-H15)/H15)</x:f>
      </x:c>
      <x:c r="Q15" t="str">
        <x:f>IF(B15&lt;&gt;"","Sí","No")</x:f>
        <x:v>Sí</x:v>
      </x:c>
    </x:row>
    <x:row r="16">
      <x:c r="A16" t="n">
        <x:v>15</x:v>
      </x:c>
      <x:c r="B16" t="str">
        <x:v>Base De Maquillaje En Barra Zepcho</x:v>
      </x:c>
      <x:c r="C16" t="str">
        <x:v>Belleza</x:v>
      </x:c>
      <x:c r="D16" t="str">
        <x:v>Belleza</x:v>
      </x:c>
      <x:c r="E16" t="str">
        <x:v>Maquillaje</x:v>
      </x:c>
      <x:c r="F16" t="n">
        <x:v>196</x:v>
      </x:c>
      <x:c r="G16" t="str">
        <x:v>Disponible</x:v>
      </x:c>
      <x:c r="H16" s="24" t="n">
        <x:v>21900</x:v>
      </x:c>
      <x:c r="I16" s="24" t="n">
        <x:v>39900</x:v>
      </x:c>
      <x:c r="J16" s="24" t="str">
        <x:v>Variable</x:v>
      </x:c>
      <x:c r="K16" t="str">
        <x:v>Exclusivo</x:v>
      </x:c>
      <x:c r="L16" t="str">
        <x:v>STOCKEADO + ANDREY BUSINESS</x:v>
      </x:c>
      <x:c r="M16" t="str">
        <x:v>catalogo_1</x:v>
      </x:c>
      <x:c r="N16" t="str"/>
      <x:c r="O16" s="24" t="n">
        <x:f>IF(OR(H16="",I16=""),"",I16-H16)</x:f>
        <x:v>18000</x:v>
      </x:c>
      <x:c r="P16" s="26" t="n">
        <x:f>IF(OR(H16="",I16="",H16=0),"",(I16-H16)/H16)</x:f>
        <x:v>0.821917808219178</x:v>
      </x:c>
      <x:c r="Q16" t="str">
        <x:f>IF(B16&lt;&gt;"","Sí","No")</x:f>
        <x:v>Sí</x:v>
      </x:c>
    </x:row>
    <x:row r="17">
      <x:c r="A17" t="n">
        <x:v>16</x:v>
      </x:c>
      <x:c r="B17" t="str">
        <x:v>Spray Gengpa Para Crecer El Pelo</x:v>
      </x:c>
      <x:c r="C17" t="str">
        <x:v>Moda</x:v>
      </x:c>
      <x:c r="D17" t="str">
        <x:v>Belleza</x:v>
      </x:c>
      <x:c r="E17" t="str">
        <x:v>Cabello</x:v>
      </x:c>
      <x:c r="F17" t="n">
        <x:v>508</x:v>
      </x:c>
      <x:c r="G17" t="str">
        <x:v>Disponible</x:v>
      </x:c>
      <x:c r="H17" s="24" t="n">
        <x:v>10900</x:v>
      </x:c>
      <x:c r="I17" s="24" t="n">
        <x:v>40900</x:v>
      </x:c>
      <x:c r="J17" s="24" t="str">
        <x:v>No visible</x:v>
      </x:c>
      <x:c r="K17" t="str">
        <x:v>Exclusivo</x:v>
      </x:c>
      <x:c r="L17" t="str">
        <x:v>STOCKEADO + ANDREY BUSINESS</x:v>
      </x:c>
      <x:c r="M17" t="str">
        <x:v>catalogo_1</x:v>
      </x:c>
      <x:c r="N17" t="str"/>
      <x:c r="O17" s="24" t="n">
        <x:f>IF(OR(H17="",I17=""),"",I17-H17)</x:f>
        <x:v>30000</x:v>
      </x:c>
      <x:c r="P17" s="26" t="n">
        <x:f>IF(OR(H17="",I17="",H17=0),"",(I17-H17)/H17)</x:f>
        <x:v>2.7522935779816513</x:v>
      </x:c>
      <x:c r="Q17" t="str">
        <x:f>IF(B17&lt;&gt;"","Sí","No")</x:f>
        <x:v>Sí</x:v>
      </x:c>
    </x:row>
    <x:row r="18">
      <x:c r="A18" t="n">
        <x:v>17</x:v>
      </x:c>
      <x:c r="B18" t="str">
        <x:v>Estanteria De Lavadora</x:v>
      </x:c>
      <x:c r="C18" t="str">
        <x:v>Hogar</x:v>
      </x:c>
      <x:c r="D18" t="str">
        <x:v>Hogar</x:v>
      </x:c>
      <x:c r="E18" t="str">
        <x:v>Organizador</x:v>
      </x:c>
      <x:c r="F18" t="n">
        <x:v>59</x:v>
      </x:c>
      <x:c r="G18" t="str">
        <x:v>Disponible</x:v>
      </x:c>
      <x:c r="H18" s="24" t="n">
        <x:v>69900</x:v>
      </x:c>
      <x:c r="I18" s="24" t="n">
        <x:v>99900</x:v>
      </x:c>
      <x:c r="J18" s="24" t="str">
        <x:v>No visible</x:v>
      </x:c>
      <x:c r="K18" t="str">
        <x:v>Exclusivo</x:v>
      </x:c>
      <x:c r="L18" t="str">
        <x:v>STOCKEADO + ANDREY BUSINESS</x:v>
      </x:c>
      <x:c r="M18" t="str">
        <x:v>catalogo_1</x:v>
      </x:c>
      <x:c r="N18" t="str"/>
      <x:c r="O18" s="24" t="n">
        <x:f>IF(OR(H18="",I18=""),"",I18-H18)</x:f>
        <x:v>30000</x:v>
      </x:c>
      <x:c r="P18" s="26" t="n">
        <x:f>IF(OR(H18="",I18="",H18=0),"",(I18-H18)/H18)</x:f>
        <x:v>0.4291845493562232</x:v>
      </x:c>
      <x:c r="Q18" t="str">
        <x:f>IF(B18&lt;&gt;"","Sí","No")</x:f>
        <x:v>Sí</x:v>
      </x:c>
    </x:row>
    <x:row r="19">
      <x:c r="A19" t="n">
        <x:v>18</x:v>
      </x:c>
      <x:c r="B19" t="str">
        <x:v>Levantador De Muebles</x:v>
      </x:c>
      <x:c r="C19" t="str">
        <x:v>Hogar</x:v>
      </x:c>
      <x:c r="D19" t="str">
        <x:v>Hogar</x:v>
      </x:c>
      <x:c r="E19" t="str">
        <x:v>Herramienta doméstica</x:v>
      </x:c>
      <x:c r="F19" t="n">
        <x:v>40</x:v>
      </x:c>
      <x:c r="G19" t="str">
        <x:v>Disponible</x:v>
      </x:c>
      <x:c r="H19" s="24" t="n">
        <x:v>25900</x:v>
      </x:c>
      <x:c r="I19" s="24" t="n">
        <x:v>55900</x:v>
      </x:c>
      <x:c r="J19" s="24" t="str">
        <x:v>No visible</x:v>
      </x:c>
      <x:c r="K19" t="str">
        <x:v>Exclusivo</x:v>
      </x:c>
      <x:c r="L19" t="str">
        <x:v>STOCKEADO + ANDREY BUSINESS</x:v>
      </x:c>
      <x:c r="M19" t="str">
        <x:v>catalogo_1</x:v>
      </x:c>
      <x:c r="N19" t="str"/>
      <x:c r="O19" s="24" t="n">
        <x:f>IF(OR(H19="",I19=""),"",I19-H19)</x:f>
        <x:v>30000</x:v>
      </x:c>
      <x:c r="P19" s="26" t="n">
        <x:f>IF(OR(H19="",I19="",H19=0),"",(I19-H19)/H19)</x:f>
        <x:v>1.1583011583011582</x:v>
      </x:c>
      <x:c r="Q19" t="str">
        <x:f>IF(B19&lt;&gt;"","Sí","No")</x:f>
        <x:v>Sí</x:v>
      </x:c>
    </x:row>
    <x:row r="20">
      <x:c r="A20" t="n">
        <x:v>19</x:v>
      </x:c>
      <x:c r="B20" t="str">
        <x:v>Ventilador Deplegable Para Mesa</x:v>
      </x:c>
      <x:c r="C20" t="str">
        <x:v>Cocina</x:v>
      </x:c>
      <x:c r="D20" t="str">
        <x:v>Tecnología</x:v>
      </x:c>
      <x:c r="E20" t="str">
        <x:v>Ventilador</x:v>
      </x:c>
      <x:c r="F20" t="n">
        <x:v>240</x:v>
      </x:c>
      <x:c r="G20" t="str">
        <x:v>Disponible</x:v>
      </x:c>
      <x:c r="H20" s="24" t="n">
        <x:v>24900</x:v>
      </x:c>
      <x:c r="I20" s="24" t="n">
        <x:v>44900</x:v>
      </x:c>
      <x:c r="J20" s="24" t="str">
        <x:v>No visible</x:v>
      </x:c>
      <x:c r="K20" t="str">
        <x:v>Exclusivo</x:v>
      </x:c>
      <x:c r="L20" t="str">
        <x:v>STOCKEADO + ANDREY BUSINESS</x:v>
      </x:c>
      <x:c r="M20" t="str">
        <x:v>catalogo_1</x:v>
      </x:c>
      <x:c r="N20" t="str"/>
      <x:c r="O20" s="24" t="n">
        <x:f>IF(OR(H20="",I20=""),"",I20-H20)</x:f>
        <x:v>20000</x:v>
      </x:c>
      <x:c r="P20" s="26" t="n">
        <x:f>IF(OR(H20="",I20="",H20=0),"",(I20-H20)/H20)</x:f>
        <x:v>0.8032128514056225</x:v>
      </x:c>
      <x:c r="Q20" t="str">
        <x:f>IF(B20&lt;&gt;"","Sí","No")</x:f>
        <x:v>Sí</x:v>
      </x:c>
    </x:row>
    <x:row r="21">
      <x:c r="A21" t="n">
        <x:v>20</x:v>
      </x:c>
      <x:c r="B21" t="str">
        <x:v>Tablero 3d Magico Pizarra</x:v>
      </x:c>
      <x:c r="C21" t="str">
        <x:v>Bebé</x:v>
      </x:c>
      <x:c r="D21" t="str">
        <x:v>Juguetería</x:v>
      </x:c>
      <x:c r="E21" t="str">
        <x:v>Pizarra / dibujo</x:v>
      </x:c>
      <x:c r="F21" t="n">
        <x:v>31</x:v>
      </x:c>
      <x:c r="G21" t="str">
        <x:v>Disponible</x:v>
      </x:c>
      <x:c r="H21" s="24" t="n">
        <x:v>19900</x:v>
      </x:c>
      <x:c r="I21" s="24" t="n">
        <x:v>39900</x:v>
      </x:c>
      <x:c r="J21" s="24" t="str">
        <x:v>No visible</x:v>
      </x:c>
      <x:c r="K21" t="str">
        <x:v>Exclusivo</x:v>
      </x:c>
      <x:c r="L21" t="str">
        <x:v>STOCKEADO + ANDREY BUSINESS</x:v>
      </x:c>
      <x:c r="M21" t="str">
        <x:v>catalogo_1</x:v>
      </x:c>
      <x:c r="N21" t="str"/>
      <x:c r="O21" s="24" t="n">
        <x:f>IF(OR(H21="",I21=""),"",I21-H21)</x:f>
        <x:v>20000</x:v>
      </x:c>
      <x:c r="P21" s="26" t="n">
        <x:f>IF(OR(H21="",I21="",H21=0),"",(I21-H21)/H21)</x:f>
        <x:v>1.0050251256281406</x:v>
      </x:c>
      <x:c r="Q21" t="str">
        <x:f>IF(B21&lt;&gt;"","Sí","No")</x:f>
        <x:v>Sí</x:v>
      </x:c>
    </x:row>
    <x:row r="22">
      <x:c r="A22" t="n">
        <x:v>21</x:v>
      </x:c>
      <x:c r="B22" t="str">
        <x:v>Autorele</x:v>
      </x:c>
      <x:c r="C22" t="str">
        <x:v>Vehículos</x:v>
      </x:c>
      <x:c r="D22" t="str">
        <x:v>Vehículos</x:v>
      </x:c>
      <x:c r="E22" t="str">
        <x:v>Accesorio vehículo</x:v>
      </x:c>
      <x:c r="F22" t="n">
        <x:v>26</x:v>
      </x:c>
      <x:c r="G22" t="str">
        <x:v>Disponible</x:v>
      </x:c>
      <x:c r="H22" s="24" t="n">
        <x:v>39900</x:v>
      </x:c>
      <x:c r="I22" s="24" t="n">
        <x:v>52900</x:v>
      </x:c>
      <x:c r="J22" s="24" t="str">
        <x:v>No visible</x:v>
      </x:c>
      <x:c r="K22" t="str">
        <x:v>Exclusivo</x:v>
      </x:c>
      <x:c r="L22" t="str">
        <x:v>STOCKEADO + ANDREY BUSINESS</x:v>
      </x:c>
      <x:c r="M22" t="str">
        <x:v>catalogo_1</x:v>
      </x:c>
      <x:c r="N22" t="str"/>
      <x:c r="O22" s="24" t="n">
        <x:f>IF(OR(H22="",I22=""),"",I22-H22)</x:f>
        <x:v>13000</x:v>
      </x:c>
      <x:c r="P22" s="26" t="n">
        <x:f>IF(OR(H22="",I22="",H22=0),"",(I22-H22)/H22)</x:f>
        <x:v>0.3258145363408521</x:v>
      </x:c>
      <x:c r="Q22" t="str">
        <x:f>IF(B22&lt;&gt;"","Sí","No")</x:f>
        <x:v>Sí</x:v>
      </x:c>
    </x:row>
    <x:row r="23">
      <x:c r="A23" t="n">
        <x:v>22</x:v>
      </x:c>
      <x:c r="B23" t="str">
        <x:v>Organizador Zapatero Ajustable</x:v>
      </x:c>
      <x:c r="C23" t="str">
        <x:v>Hogar</x:v>
      </x:c>
      <x:c r="D23" t="str">
        <x:v>Hogar</x:v>
      </x:c>
      <x:c r="E23" t="str">
        <x:v>Organizador</x:v>
      </x:c>
      <x:c r="F23" t="n">
        <x:v>3000</x:v>
      </x:c>
      <x:c r="G23" t="str">
        <x:v>Disponible</x:v>
      </x:c>
      <x:c r="H23" s="24" t="n">
        <x:v>9900</x:v>
      </x:c>
      <x:c r="I23" s="24" t="n">
        <x:v>39900</x:v>
      </x:c>
      <x:c r="J23" s="24" t="str">
        <x:v>No visible</x:v>
      </x:c>
      <x:c r="K23" t="str">
        <x:v>Exclusivo</x:v>
      </x:c>
      <x:c r="L23" t="str">
        <x:v>STOCKEADO + ANDREY BUSINESS</x:v>
      </x:c>
      <x:c r="M23" t="str">
        <x:v>catalogo_1</x:v>
      </x:c>
      <x:c r="N23" t="str"/>
      <x:c r="O23" s="24" t="n">
        <x:f>IF(OR(H23="",I23=""),"",I23-H23)</x:f>
        <x:v>30000</x:v>
      </x:c>
      <x:c r="P23" s="26" t="n">
        <x:f>IF(OR(H23="",I23="",H23=0),"",(I23-H23)/H23)</x:f>
        <x:v>3.0303030303030303</x:v>
      </x:c>
      <x:c r="Q23" t="str">
        <x:f>IF(B23&lt;&gt;"","Sí","No")</x:f>
        <x:v>Sí</x:v>
      </x:c>
    </x:row>
    <x:row r="24">
      <x:c r="A24" t="n">
        <x:v>23</x:v>
      </x:c>
      <x:c r="B24" t="str">
        <x:v>Plumas De Bordado</x:v>
      </x:c>
      <x:c r="C24" t="str">
        <x:v>Hogar</x:v>
      </x:c>
      <x:c r="D24" t="str">
        <x:v>Hogar</x:v>
      </x:c>
      <x:c r="E24" t="str">
        <x:v>Manualidades</x:v>
      </x:c>
      <x:c r="F24" t="n">
        <x:v>12</x:v>
      </x:c>
      <x:c r="G24" t="str">
        <x:v>Disponible</x:v>
      </x:c>
      <x:c r="H24" s="24" t="n">
        <x:v>20900</x:v>
      </x:c>
      <x:c r="I24" s="24" t="n">
        <x:v>40900</x:v>
      </x:c>
      <x:c r="J24" s="24" t="str">
        <x:v>No visible</x:v>
      </x:c>
      <x:c r="K24" t="str">
        <x:v>Exclusivo</x:v>
      </x:c>
      <x:c r="L24" t="str">
        <x:v>STOCKEADO + ANDREY BUSINESS</x:v>
      </x:c>
      <x:c r="M24" t="str">
        <x:v>catalogo_1</x:v>
      </x:c>
      <x:c r="N24" t="str"/>
      <x:c r="O24" s="24" t="n">
        <x:f>IF(OR(H24="",I24=""),"",I24-H24)</x:f>
        <x:v>20000</x:v>
      </x:c>
      <x:c r="P24" s="26" t="n">
        <x:f>IF(OR(H24="",I24="",H24=0),"",(I24-H24)/H24)</x:f>
        <x:v>0.9569377990430622</x:v>
      </x:c>
      <x:c r="Q24" t="str">
        <x:f>IF(B24&lt;&gt;"","Sí","No")</x:f>
        <x:v>Sí</x:v>
      </x:c>
    </x:row>
    <x:row r="25">
      <x:c r="A25" t="n">
        <x:v>24</x:v>
      </x:c>
      <x:c r="B25" t="str">
        <x:v>Pendiente Abejas</x:v>
      </x:c>
      <x:c r="C25" t="str">
        <x:v>Bisutería</x:v>
      </x:c>
      <x:c r="D25" t="str">
        <x:v>Bisutería</x:v>
      </x:c>
      <x:c r="E25" t="str">
        <x:v>Pendientes</x:v>
      </x:c>
      <x:c r="F25" t="n">
        <x:v>133</x:v>
      </x:c>
      <x:c r="G25" t="str">
        <x:v>Disponible</x:v>
      </x:c>
      <x:c r="H25" s="24" t="n">
        <x:v>10900</x:v>
      </x:c>
      <x:c r="I25" s="24" t="n">
        <x:v>29900</x:v>
      </x:c>
      <x:c r="J25" s="24" t="str">
        <x:v>No visible</x:v>
      </x:c>
      <x:c r="K25" t="str">
        <x:v>Exclusivo</x:v>
      </x:c>
      <x:c r="L25" t="str">
        <x:v>STOCKEADO + ANDREY BUSINESS</x:v>
      </x:c>
      <x:c r="M25" t="str">
        <x:v>catalogo_1</x:v>
      </x:c>
      <x:c r="N25" t="str"/>
      <x:c r="O25" s="24" t="n">
        <x:f>IF(OR(H25="",I25=""),"",I25-H25)</x:f>
        <x:v>19000</x:v>
      </x:c>
      <x:c r="P25" s="26" t="n">
        <x:f>IF(OR(H25="",I25="",H25=0),"",(I25-H25)/H25)</x:f>
        <x:v>1.7431192660550459</x:v>
      </x:c>
      <x:c r="Q25" t="str">
        <x:f>IF(B25&lt;&gt;"","Sí","No")</x:f>
        <x:v>Sí</x:v>
      </x:c>
    </x:row>
    <x:row r="26">
      <x:c r="A26" t="n">
        <x:v>25</x:v>
      </x:c>
      <x:c r="B26" t="str">
        <x:v>Camping Bellhowll Linterna Led X22</x:v>
      </x:c>
      <x:c r="C26" t="str">
        <x:v>Camping</x:v>
      </x:c>
      <x:c r="D26" t="str">
        <x:v>Camping</x:v>
      </x:c>
      <x:c r="E26" t="str">
        <x:v>Linterna</x:v>
      </x:c>
      <x:c r="F26" t="n">
        <x:v>146</x:v>
      </x:c>
      <x:c r="G26" t="str">
        <x:v>Disponible</x:v>
      </x:c>
      <x:c r="H26" s="24" t="n">
        <x:v>19900</x:v>
      </x:c>
      <x:c r="I26" s="24" t="n">
        <x:v>69900</x:v>
      </x:c>
      <x:c r="J26" s="24" t="str">
        <x:v>No visible</x:v>
      </x:c>
      <x:c r="K26" t="str">
        <x:v>Exclusivo</x:v>
      </x:c>
      <x:c r="L26" t="str">
        <x:v>STOCKEADO + ANDREY BUSINESS</x:v>
      </x:c>
      <x:c r="M26" t="str">
        <x:v>catalogo_1</x:v>
      </x:c>
      <x:c r="N26" t="str"/>
      <x:c r="O26" s="24" t="n">
        <x:f>IF(OR(H26="",I26=""),"",I26-H26)</x:f>
        <x:v>50000</x:v>
      </x:c>
      <x:c r="P26" s="26" t="n">
        <x:f>IF(OR(H26="",I26="",H26=0),"",(I26-H26)/H26)</x:f>
        <x:v>2.512562814070352</x:v>
      </x:c>
      <x:c r="Q26" t="str">
        <x:f>IF(B26&lt;&gt;"","Sí","No")</x:f>
        <x:v>Sí</x:v>
      </x:c>
    </x:row>
    <x:row r="27">
      <x:c r="A27" t="n">
        <x:v>26</x:v>
      </x:c>
      <x:c r="B27" t="str">
        <x:v>Pest Reject Repelente De Plagas</x:v>
      </x:c>
      <x:c r="C27" t="str">
        <x:v>Hogar</x:v>
      </x:c>
      <x:c r="D27" t="str">
        <x:v>Hogar</x:v>
      </x:c>
      <x:c r="E27" t="str">
        <x:v>Control plagas</x:v>
      </x:c>
      <x:c r="F27" t="n">
        <x:v>506</x:v>
      </x:c>
      <x:c r="G27" t="str">
        <x:v>Disponible</x:v>
      </x:c>
      <x:c r="H27" s="24" t="n">
        <x:v>26900</x:v>
      </x:c>
      <x:c r="I27" s="24" t="n">
        <x:v>58500</x:v>
      </x:c>
      <x:c r="J27" s="24" t="str">
        <x:v>No visible</x:v>
      </x:c>
      <x:c r="K27" t="str">
        <x:v>Exclusivo</x:v>
      </x:c>
      <x:c r="L27" t="str">
        <x:v>STOCKEADO + ANDREY BUSINESS</x:v>
      </x:c>
      <x:c r="M27" t="str">
        <x:v>catalogo_1</x:v>
      </x:c>
      <x:c r="N27" t="str"/>
      <x:c r="O27" s="24" t="n">
        <x:f>IF(OR(H27="",I27=""),"",I27-H27)</x:f>
        <x:v>31600</x:v>
      </x:c>
      <x:c r="P27" s="26" t="n">
        <x:f>IF(OR(H27="",I27="",H27=0),"",(I27-H27)/H27)</x:f>
        <x:v>1.174721189591078</x:v>
      </x:c>
      <x:c r="Q27" t="str">
        <x:f>IF(B27&lt;&gt;"","Sí","No")</x:f>
        <x:v>Sí</x:v>
      </x:c>
    </x:row>
    <x:row r="28">
      <x:c r="A28" t="n">
        <x:v>27</x:v>
      </x:c>
      <x:c r="B28" t="str">
        <x:v>Filtro Para Agua</x:v>
      </x:c>
      <x:c r="C28" t="str">
        <x:v>Cocina</x:v>
      </x:c>
      <x:c r="D28" t="str">
        <x:v>Cocina</x:v>
      </x:c>
      <x:c r="E28" t="str">
        <x:v>Filtro</x:v>
      </x:c>
      <x:c r="F28"/>
      <x:c r="G28" t="str">
        <x:v>Visible sin stock capturado</x:v>
      </x:c>
      <x:c r="H28" s="24" t="n">
        <x:v>9900</x:v>
      </x:c>
      <x:c r="I28" s="24" t="n">
        <x:v>12900</x:v>
      </x:c>
      <x:c r="J28" s="24" t="str">
        <x:v>No visible</x:v>
      </x:c>
      <x:c r="K28" t="str">
        <x:v>Exclusivo</x:v>
      </x:c>
      <x:c r="L28" t="str">
        <x:v>STOCKEADO + ANDREY BUSINESS</x:v>
      </x:c>
      <x:c r="M28" t="str">
        <x:v>catalogo_1</x:v>
      </x:c>
      <x:c r="N28" t="str">
        <x:v>Stock no legible en screenshot</x:v>
      </x:c>
      <x:c r="O28" s="24" t="n">
        <x:f>IF(OR(H28="",I28=""),"",I28-H28)</x:f>
        <x:v>3000</x:v>
      </x:c>
      <x:c r="P28" s="26" t="n">
        <x:f>IF(OR(H28="",I28="",H28=0),"",(I28-H28)/H28)</x:f>
        <x:v>0.30303030303030304</x:v>
      </x:c>
      <x:c r="Q28" t="str">
        <x:f>IF(B28&lt;&gt;"","Sí","No")</x:f>
        <x:v>Sí</x:v>
      </x:c>
    </x:row>
    <x:row r="29">
      <x:c r="A29" t="n">
        <x:v>28</x:v>
      </x:c>
      <x:c r="B29" t="str">
        <x:v>Base Moisture Cushion</x:v>
      </x:c>
      <x:c r="C29" t="str">
        <x:v>Belleza</x:v>
      </x:c>
      <x:c r="D29" t="str">
        <x:v>Belleza</x:v>
      </x:c>
      <x:c r="E29" t="str">
        <x:v>Maquillaje</x:v>
      </x:c>
      <x:c r="F29" t="n">
        <x:v>1834</x:v>
      </x:c>
      <x:c r="G29" t="str">
        <x:v>Disponible</x:v>
      </x:c>
      <x:c r="H29" s="24" t="n">
        <x:v>15900</x:v>
      </x:c>
      <x:c r="I29" s="24" t="n">
        <x:v>29900</x:v>
      </x:c>
      <x:c r="J29" s="24" t="str">
        <x:v>Variable</x:v>
      </x:c>
      <x:c r="K29" t="str">
        <x:v>Exclusivo</x:v>
      </x:c>
      <x:c r="L29" t="str">
        <x:v>STOCKEADO + ANDREY BUSINESS</x:v>
      </x:c>
      <x:c r="M29" t="str">
        <x:v>catalogo_2</x:v>
      </x:c>
      <x:c r="N29" t="str"/>
      <x:c r="O29" s="24" t="n">
        <x:f>IF(OR(H29="",I29=""),"",I29-H29)</x:f>
        <x:v>14000</x:v>
      </x:c>
      <x:c r="P29" s="26" t="n">
        <x:f>IF(OR(H29="",I29="",H29=0),"",(I29-H29)/H29)</x:f>
        <x:v>0.8805031446540881</x:v>
      </x:c>
      <x:c r="Q29" t="str">
        <x:f>IF(B29&lt;&gt;"","Sí","No")</x:f>
        <x:v>Sí</x:v>
      </x:c>
    </x:row>
    <x:row r="30">
      <x:c r="A30" t="n">
        <x:v>29</x:v>
      </x:c>
      <x:c r="B30" t="str">
        <x:v>Estanteria De Microonda</x:v>
      </x:c>
      <x:c r="C30" t="str">
        <x:v>Hogar</x:v>
      </x:c>
      <x:c r="D30" t="str">
        <x:v>Hogar</x:v>
      </x:c>
      <x:c r="E30" t="str">
        <x:v>Organizador</x:v>
      </x:c>
      <x:c r="F30" t="n">
        <x:v>104</x:v>
      </x:c>
      <x:c r="G30" t="str">
        <x:v>Disponible</x:v>
      </x:c>
      <x:c r="H30" s="24" t="n">
        <x:v>48900</x:v>
      </x:c>
      <x:c r="I30" s="24" t="n">
        <x:v>68900</x:v>
      </x:c>
      <x:c r="J30" s="24" t="str">
        <x:v>No visible</x:v>
      </x:c>
      <x:c r="K30" t="str">
        <x:v>Exclusivo</x:v>
      </x:c>
      <x:c r="L30" t="str">
        <x:v>STOCKEADO + ANDREY BUSINESS</x:v>
      </x:c>
      <x:c r="M30" t="str">
        <x:v>catalogo_2</x:v>
      </x:c>
      <x:c r="N30" t="str"/>
      <x:c r="O30" s="24" t="n">
        <x:f>IF(OR(H30="",I30=""),"",I30-H30)</x:f>
        <x:v>20000</x:v>
      </x:c>
      <x:c r="P30" s="26" t="n">
        <x:f>IF(OR(H30="",I30="",H30=0),"",(I30-H30)/H30)</x:f>
        <x:v>0.40899795501022496</x:v>
      </x:c>
      <x:c r="Q30" t="str">
        <x:f>IF(B30&lt;&gt;"","Sí","No")</x:f>
        <x:v>Sí</x:v>
      </x:c>
    </x:row>
    <x:row r="31">
      <x:c r="A31" t="n">
        <x:v>30</x:v>
      </x:c>
      <x:c r="B31" t="str">
        <x:v>Accesorio Tubo Escape Coche</x:v>
      </x:c>
      <x:c r="C31" t="str">
        <x:v>Vehículos</x:v>
      </x:c>
      <x:c r="D31" t="str">
        <x:v>Vehículos</x:v>
      </x:c>
      <x:c r="E31" t="str">
        <x:v>Accesorio vehículo</x:v>
      </x:c>
      <x:c r="F31" t="n">
        <x:v>7872</x:v>
      </x:c>
      <x:c r="G31" t="str">
        <x:v>Disponible</x:v>
      </x:c>
      <x:c r="H31" s="24" t="n">
        <x:v>9500</x:v>
      </x:c>
      <x:c r="I31" s="24"/>
      <x:c r="J31" s="24" t="str">
        <x:v>No visible</x:v>
      </x:c>
      <x:c r="K31" t="str">
        <x:v>Exclusivo</x:v>
      </x:c>
      <x:c r="L31" t="str">
        <x:v>STOCKEADO + ANDREY BUSINESS</x:v>
      </x:c>
      <x:c r="M31" t="str">
        <x:v>catalogo_2</x:v>
      </x:c>
      <x:c r="N31" t="str">
        <x:v>Precio sugerido no legible</x:v>
      </x:c>
      <x:c r="O31" s="24" t="str">
        <x:f>IF(OR(H31="",I31=""),"",I31-H31)</x:f>
      </x:c>
      <x:c r="P31" s="26" t="str">
        <x:f>IF(OR(H31="",I31="",H31=0),"",(I31-H31)/H31)</x:f>
      </x:c>
      <x:c r="Q31" t="str">
        <x:f>IF(B31&lt;&gt;"","Sí","No")</x:f>
        <x:v>Sí</x:v>
      </x:c>
    </x:row>
    <x:row r="32">
      <x:c r="A32" t="n">
        <x:v>31</x:v>
      </x:c>
      <x:c r="B32" t="str">
        <x:v>Kit Removedor De Correas</x:v>
      </x:c>
      <x:c r="C32" t="str">
        <x:v>Herramientas</x:v>
      </x:c>
      <x:c r="D32" t="str">
        <x:v>Herramientas</x:v>
      </x:c>
      <x:c r="E32" t="str">
        <x:v>Automotriz / correas</x:v>
      </x:c>
      <x:c r="F32" t="n">
        <x:v>130</x:v>
      </x:c>
      <x:c r="G32" t="str">
        <x:v>Disponible</x:v>
      </x:c>
      <x:c r="H32" s="24" t="n">
        <x:v>10900</x:v>
      </x:c>
      <x:c r="I32" s="24" t="n">
        <x:v>30900</x:v>
      </x:c>
      <x:c r="J32" s="24" t="str">
        <x:v>No visible</x:v>
      </x:c>
      <x:c r="K32" t="str">
        <x:v>Exclusivo</x:v>
      </x:c>
      <x:c r="L32" t="str">
        <x:v>STOCKEADO + ANDREY BUSINESS</x:v>
      </x:c>
      <x:c r="M32" t="str">
        <x:v>catalogo_2</x:v>
      </x:c>
      <x:c r="N32" t="str"/>
      <x:c r="O32" s="24" t="n">
        <x:f>IF(OR(H32="",I32=""),"",I32-H32)</x:f>
        <x:v>20000</x:v>
      </x:c>
      <x:c r="P32" s="26" t="n">
        <x:f>IF(OR(H32="",I32="",H32=0),"",(I32-H32)/H32)</x:f>
        <x:v>1.834862385321101</x:v>
      </x:c>
      <x:c r="Q32" t="str">
        <x:f>IF(B32&lt;&gt;"","Sí","No")</x:f>
        <x:v>Sí</x:v>
      </x:c>
    </x:row>
    <x:row r="33">
      <x:c r="A33" t="n">
        <x:v>32</x:v>
      </x:c>
      <x:c r="B33" t="str">
        <x:v>Sticker Uñas 5d</x:v>
      </x:c>
      <x:c r="C33" t="str">
        <x:v>Belleza</x:v>
      </x:c>
      <x:c r="D33" t="str">
        <x:v>Belleza</x:v>
      </x:c>
      <x:c r="E33" t="str">
        <x:v>Uñas</x:v>
      </x:c>
      <x:c r="F33" t="n">
        <x:v>57</x:v>
      </x:c>
      <x:c r="G33" t="str">
        <x:v>Disponible</x:v>
      </x:c>
      <x:c r="H33" s="24" t="n">
        <x:v>6900</x:v>
      </x:c>
      <x:c r="I33" s="24"/>
      <x:c r="J33" s="24" t="str">
        <x:v>Variable</x:v>
      </x:c>
      <x:c r="K33" t="str">
        <x:v>Exclusivo</x:v>
      </x:c>
      <x:c r="L33" t="str">
        <x:v>STOCKEADO + ANDREY BUSINESS</x:v>
      </x:c>
      <x:c r="M33" t="str">
        <x:v>catalogo_2</x:v>
      </x:c>
      <x:c r="N33" t="str"/>
      <x:c r="O33" s="24" t="str">
        <x:f>IF(OR(H33="",I33=""),"",I33-H33)</x:f>
      </x:c>
      <x:c r="P33" s="26" t="str">
        <x:f>IF(OR(H33="",I33="",H33=0),"",(I33-H33)/H33)</x:f>
      </x:c>
      <x:c r="Q33" t="str">
        <x:f>IF(B33&lt;&gt;"","Sí","No")</x:f>
        <x:v>Sí</x:v>
      </x:c>
    </x:row>
    <x:row r="34">
      <x:c r="A34" t="n">
        <x:v>33</x:v>
      </x:c>
      <x:c r="B34" t="str">
        <x:v>Cinta Facial Invisible</x:v>
      </x:c>
      <x:c r="C34" t="str">
        <x:v>Belleza</x:v>
      </x:c>
      <x:c r="D34" t="str">
        <x:v>Belleza</x:v>
      </x:c>
      <x:c r="E34" t="str">
        <x:v>Cuidado facial</x:v>
      </x:c>
      <x:c r="F34" t="n">
        <x:v>406</x:v>
      </x:c>
      <x:c r="G34" t="str">
        <x:v>Disponible</x:v>
      </x:c>
      <x:c r="H34" s="24" t="n">
        <x:v>9900</x:v>
      </x:c>
      <x:c r="I34" s="24" t="n">
        <x:v>19900</x:v>
      </x:c>
      <x:c r="J34" s="24" t="str">
        <x:v>No visible</x:v>
      </x:c>
      <x:c r="K34" t="str">
        <x:v>Exclusivo</x:v>
      </x:c>
      <x:c r="L34" t="str">
        <x:v>STOCKEADO + ANDREY BUSINESS</x:v>
      </x:c>
      <x:c r="M34" t="str">
        <x:v>catalogo_2</x:v>
      </x:c>
      <x:c r="N34" t="str"/>
      <x:c r="O34" s="24" t="n">
        <x:f>IF(OR(H34="",I34=""),"",I34-H34)</x:f>
        <x:v>10000</x:v>
      </x:c>
      <x:c r="P34" s="26" t="n">
        <x:f>IF(OR(H34="",I34="",H34=0),"",(I34-H34)/H34)</x:f>
        <x:v>1.0101010101010102</x:v>
      </x:c>
      <x:c r="Q34" t="str">
        <x:f>IF(B34&lt;&gt;"","Sí","No")</x:f>
        <x:v>Sí</x:v>
      </x:c>
    </x:row>
    <x:row r="35">
      <x:c r="A35" t="n">
        <x:v>34</x:v>
      </x:c>
      <x:c r="B35" t="str">
        <x:v>Bolso Para Llaves</x:v>
      </x:c>
      <x:c r="C35" t="str">
        <x:v>Bisutería</x:v>
      </x:c>
      <x:c r="D35" t="str">
        <x:v>Moda</x:v>
      </x:c>
      <x:c r="E35" t="str">
        <x:v>Accesorio</x:v>
      </x:c>
      <x:c r="F35" t="n">
        <x:v>21</x:v>
      </x:c>
      <x:c r="G35" t="str">
        <x:v>Disponible</x:v>
      </x:c>
      <x:c r="H35" s="24" t="n">
        <x:v>10900</x:v>
      </x:c>
      <x:c r="I35" s="24" t="n">
        <x:v>29900</x:v>
      </x:c>
      <x:c r="J35" s="24" t="str">
        <x:v>Variable</x:v>
      </x:c>
      <x:c r="K35" t="str">
        <x:v>Exclusivo</x:v>
      </x:c>
      <x:c r="L35" t="str">
        <x:v>STOCKEADO + ANDREY BUSINESS</x:v>
      </x:c>
      <x:c r="M35" t="str">
        <x:v>catalogo_2</x:v>
      </x:c>
      <x:c r="N35" t="str"/>
      <x:c r="O35" s="24" t="n">
        <x:f>IF(OR(H35="",I35=""),"",I35-H35)</x:f>
        <x:v>19000</x:v>
      </x:c>
      <x:c r="P35" s="26" t="n">
        <x:f>IF(OR(H35="",I35="",H35=0),"",(I35-H35)/H35)</x:f>
        <x:v>1.7431192660550459</x:v>
      </x:c>
      <x:c r="Q35" t="str">
        <x:f>IF(B35&lt;&gt;"","Sí","No")</x:f>
        <x:v>Sí</x:v>
      </x:c>
    </x:row>
    <x:row r="36">
      <x:c r="A36" t="n">
        <x:v>35</x:v>
      </x:c>
      <x:c r="B36" t="str">
        <x:v>Candado Alarma</x:v>
      </x:c>
      <x:c r="C36" t="str">
        <x:v>Otro</x:v>
      </x:c>
      <x:c r="D36" t="str">
        <x:v>Tecnología</x:v>
      </x:c>
      <x:c r="E36" t="str">
        <x:v>Seguridad</x:v>
      </x:c>
      <x:c r="F36" t="n">
        <x:v>292</x:v>
      </x:c>
      <x:c r="G36" t="str">
        <x:v>Disponible</x:v>
      </x:c>
      <x:c r="H36" s="24" t="n">
        <x:v>18900</x:v>
      </x:c>
      <x:c r="I36" s="24" t="n">
        <x:v>39900</x:v>
      </x:c>
      <x:c r="J36" s="24" t="str">
        <x:v>No visible</x:v>
      </x:c>
      <x:c r="K36" t="str">
        <x:v>Exclusivo</x:v>
      </x:c>
      <x:c r="L36" t="str">
        <x:v>STOCKEADO + ANDREY BUSINESS</x:v>
      </x:c>
      <x:c r="M36" t="str">
        <x:v>catalogo_2</x:v>
      </x:c>
      <x:c r="N36" t="str"/>
      <x:c r="O36" s="24" t="n">
        <x:f>IF(OR(H36="",I36=""),"",I36-H36)</x:f>
        <x:v>21000</x:v>
      </x:c>
      <x:c r="P36" s="26" t="n">
        <x:f>IF(OR(H36="",I36="",H36=0),"",(I36-H36)/H36)</x:f>
        <x:v>1.1111111111111112</x:v>
      </x:c>
      <x:c r="Q36" t="str">
        <x:f>IF(B36&lt;&gt;"","Sí","No")</x:f>
        <x:v>Sí</x:v>
      </x:c>
    </x:row>
    <x:row r="37">
      <x:c r="A37" t="n">
        <x:v>36</x:v>
      </x:c>
      <x:c r="B37" t="str">
        <x:v>Pendientes Diamond</x:v>
      </x:c>
      <x:c r="C37" t="str">
        <x:v>Bisutería</x:v>
      </x:c>
      <x:c r="D37" t="str">
        <x:v>Bisutería</x:v>
      </x:c>
      <x:c r="E37" t="str">
        <x:v>Pendientes</x:v>
      </x:c>
      <x:c r="F37" t="n">
        <x:v>186</x:v>
      </x:c>
      <x:c r="G37" t="str">
        <x:v>Disponible</x:v>
      </x:c>
      <x:c r="H37" s="24" t="n">
        <x:v>10900</x:v>
      </x:c>
      <x:c r="I37" s="24" t="n">
        <x:v>30900</x:v>
      </x:c>
      <x:c r="J37" s="24" t="str">
        <x:v>No visible</x:v>
      </x:c>
      <x:c r="K37" t="str">
        <x:v>Exclusivo</x:v>
      </x:c>
      <x:c r="L37" t="str">
        <x:v>STOCKEADO + ANDREY BUSINESS</x:v>
      </x:c>
      <x:c r="M37" t="str">
        <x:v>catalogo_2</x:v>
      </x:c>
      <x:c r="N37" t="str"/>
      <x:c r="O37" s="24" t="n">
        <x:f>IF(OR(H37="",I37=""),"",I37-H37)</x:f>
        <x:v>20000</x:v>
      </x:c>
      <x:c r="P37" s="26" t="n">
        <x:f>IF(OR(H37="",I37="",H37=0),"",(I37-H37)/H37)</x:f>
        <x:v>1.834862385321101</x:v>
      </x:c>
      <x:c r="Q37" t="str">
        <x:f>IF(B37&lt;&gt;"","Sí","No")</x:f>
        <x:v>Sí</x:v>
      </x:c>
    </x:row>
    <x:row r="38">
      <x:c r="A38" t="n">
        <x:v>37</x:v>
      </x:c>
      <x:c r="B38" t="str">
        <x:v>Amplificador Auditivo</x:v>
      </x:c>
      <x:c r="C38" t="str">
        <x:v>Otro</x:v>
      </x:c>
      <x:c r="D38" t="str">
        <x:v>Bienestar</x:v>
      </x:c>
      <x:c r="E38" t="str">
        <x:v>Audición</x:v>
      </x:c>
      <x:c r="F38" t="n">
        <x:v>5</x:v>
      </x:c>
      <x:c r="G38" t="str">
        <x:v>Disponible</x:v>
      </x:c>
      <x:c r="H38" s="24" t="n">
        <x:v>41900</x:v>
      </x:c>
      <x:c r="I38" s="24" t="n">
        <x:v>69900</x:v>
      </x:c>
      <x:c r="J38" s="24" t="str">
        <x:v>No visible</x:v>
      </x:c>
      <x:c r="K38" t="str">
        <x:v>Exclusivo</x:v>
      </x:c>
      <x:c r="L38" t="str">
        <x:v>STOCKEADO + ANDREY BUSINESS</x:v>
      </x:c>
      <x:c r="M38" t="str">
        <x:v>catalogo_2</x:v>
      </x:c>
      <x:c r="N38" t="str"/>
      <x:c r="O38" s="24" t="n">
        <x:f>IF(OR(H38="",I38=""),"",I38-H38)</x:f>
        <x:v>28000</x:v>
      </x:c>
      <x:c r="P38" s="26" t="n">
        <x:f>IF(OR(H38="",I38="",H38=0),"",(I38-H38)/H38)</x:f>
        <x:v>0.6682577565632458</x:v>
      </x:c>
      <x:c r="Q38" t="str">
        <x:f>IF(B38&lt;&gt;"","Sí","No")</x:f>
        <x:v>Sí</x:v>
      </x:c>
    </x:row>
    <x:row r="39">
      <x:c r="A39" t="n">
        <x:v>38</x:v>
      </x:c>
      <x:c r="B39" t="str">
        <x:v>Ajustadores De Anillos</x:v>
      </x:c>
      <x:c r="C39" t="str">
        <x:v>Otro</x:v>
      </x:c>
      <x:c r="D39" t="str">
        <x:v>Bisutería</x:v>
      </x:c>
      <x:c r="E39" t="str">
        <x:v>Accesorios anillos</x:v>
      </x:c>
      <x:c r="F39" t="n">
        <x:v>1</x:v>
      </x:c>
      <x:c r="G39" t="str">
        <x:v>Disponible</x:v>
      </x:c>
      <x:c r="H39" s="24" t="n">
        <x:v>7900</x:v>
      </x:c>
      <x:c r="I39" s="24" t="n">
        <x:v>19900</x:v>
      </x:c>
      <x:c r="J39" s="24" t="str">
        <x:v>No visible</x:v>
      </x:c>
      <x:c r="K39" t="str">
        <x:v>Exclusivo</x:v>
      </x:c>
      <x:c r="L39" t="str">
        <x:v>STOCKEADO + ANDREY BUSINESS</x:v>
      </x:c>
      <x:c r="M39" t="str">
        <x:v>catalogo_2</x:v>
      </x:c>
      <x:c r="N39" t="str"/>
      <x:c r="O39" s="24" t="n">
        <x:f>IF(OR(H39="",I39=""),"",I39-H39)</x:f>
        <x:v>12000</x:v>
      </x:c>
      <x:c r="P39" s="26" t="n">
        <x:f>IF(OR(H39="",I39="",H39=0),"",(I39-H39)/H39)</x:f>
        <x:v>1.518987341772152</x:v>
      </x:c>
      <x:c r="Q39" t="str">
        <x:f>IF(B39&lt;&gt;"","Sí","No")</x:f>
        <x:v>Sí</x:v>
      </x:c>
    </x:row>
    <x:row r="40">
      <x:c r="A40" t="n">
        <x:v>39</x:v>
      </x:c>
      <x:c r="B40" t="str">
        <x:v>Pestanas Adhesivas</x:v>
      </x:c>
      <x:c r="C40" t="str">
        <x:v>Belleza</x:v>
      </x:c>
      <x:c r="D40" t="str">
        <x:v>Belleza</x:v>
      </x:c>
      <x:c r="E40" t="str">
        <x:v>Pestañas</x:v>
      </x:c>
      <x:c r="F40" t="n">
        <x:v>8</x:v>
      </x:c>
      <x:c r="G40" t="str">
        <x:v>Disponible</x:v>
      </x:c>
      <x:c r="H40" s="24" t="n">
        <x:v>31900</x:v>
      </x:c>
      <x:c r="I40" s="24"/>
      <x:c r="J40" s="24" t="str">
        <x:v>Variable</x:v>
      </x:c>
      <x:c r="K40" t="str">
        <x:v>Exclusivo</x:v>
      </x:c>
      <x:c r="L40" t="str">
        <x:v>STOCKEADO + ANDREY BUSINESS</x:v>
      </x:c>
      <x:c r="M40" t="str">
        <x:v>catalogo_2</x:v>
      </x:c>
      <x:c r="N40" t="str"/>
      <x:c r="O40" s="24" t="str">
        <x:f>IF(OR(H40="",I40=""),"",I40-H40)</x:f>
      </x:c>
      <x:c r="P40" s="26" t="str">
        <x:f>IF(OR(H40="",I40="",H40=0),"",(I40-H40)/H40)</x:f>
      </x:c>
      <x:c r="Q40" t="str">
        <x:f>IF(B40&lt;&gt;"","Sí","No")</x:f>
        <x:v>Sí</x:v>
      </x:c>
    </x:row>
    <x:row r="41">
      <x:c r="A41" t="n">
        <x:v>40</x:v>
      </x:c>
      <x:c r="B41" t="str">
        <x:v>Ventilador Doble Para Coche</x:v>
      </x:c>
      <x:c r="C41" t="str">
        <x:v>Tecnología</x:v>
      </x:c>
      <x:c r="D41" t="str">
        <x:v>Vehículos</x:v>
      </x:c>
      <x:c r="E41" t="str">
        <x:v>Accesorio vehículo</x:v>
      </x:c>
      <x:c r="F41" t="n">
        <x:v>297</x:v>
      </x:c>
      <x:c r="G41" t="str">
        <x:v>Disponible</x:v>
      </x:c>
      <x:c r="H41" s="24" t="n">
        <x:v>28900</x:v>
      </x:c>
      <x:c r="I41" s="24" t="n">
        <x:v>48900</x:v>
      </x:c>
      <x:c r="J41" s="24" t="str">
        <x:v>No visible</x:v>
      </x:c>
      <x:c r="K41" t="str">
        <x:v>Exclusivo</x:v>
      </x:c>
      <x:c r="L41" t="str">
        <x:v>STOCKEADO + ANDREY BUSINESS</x:v>
      </x:c>
      <x:c r="M41" t="str">
        <x:v>catalogo_2</x:v>
      </x:c>
      <x:c r="N41" t="str"/>
      <x:c r="O41" s="24" t="n">
        <x:f>IF(OR(H41="",I41=""),"",I41-H41)</x:f>
        <x:v>20000</x:v>
      </x:c>
      <x:c r="P41" s="26" t="n">
        <x:f>IF(OR(H41="",I41="",H41=0),"",(I41-H41)/H41)</x:f>
        <x:v>0.6920415224913494</x:v>
      </x:c>
      <x:c r="Q41" t="str">
        <x:f>IF(B41&lt;&gt;"","Sí","No")</x:f>
        <x:v>Sí</x:v>
      </x:c>
    </x:row>
    <x:row r="42">
      <x:c r="A42" t="n">
        <x:v>41</x:v>
      </x:c>
      <x:c r="B42" t="str">
        <x:v>Almohadilla De Gel Para Cuello</x:v>
      </x:c>
      <x:c r="C42" t="str">
        <x:v>Belleza</x:v>
      </x:c>
      <x:c r="D42" t="str">
        <x:v>Bienestar</x:v>
      </x:c>
      <x:c r="E42" t="str">
        <x:v>Almohadilla / dolor</x:v>
      </x:c>
      <x:c r="F42" t="n">
        <x:v>13</x:v>
      </x:c>
      <x:c r="G42" t="str">
        <x:v>Disponible</x:v>
      </x:c>
      <x:c r="H42" s="24" t="n">
        <x:v>28900</x:v>
      </x:c>
      <x:c r="I42" s="24" t="n">
        <x:v>58900</x:v>
      </x:c>
      <x:c r="J42" s="24" t="str">
        <x:v>No visible</x:v>
      </x:c>
      <x:c r="K42" t="str">
        <x:v>Exclusivo</x:v>
      </x:c>
      <x:c r="L42" t="str">
        <x:v>STOCKEADO + ANDREY BUSINESS</x:v>
      </x:c>
      <x:c r="M42" t="str">
        <x:v>catalogo_2</x:v>
      </x:c>
      <x:c r="N42" t="str"/>
      <x:c r="O42" s="24" t="n">
        <x:f>IF(OR(H42="",I42=""),"",I42-H42)</x:f>
        <x:v>30000</x:v>
      </x:c>
      <x:c r="P42" s="26" t="n">
        <x:f>IF(OR(H42="",I42="",H42=0),"",(I42-H42)/H42)</x:f>
        <x:v>1.0380622837370241</x:v>
      </x:c>
      <x:c r="Q42" t="str">
        <x:f>IF(B42&lt;&gt;"","Sí","No")</x:f>
        <x:v>Sí</x:v>
      </x:c>
    </x:row>
    <x:row r="43">
      <x:c r="A43" t="n">
        <x:v>42</x:v>
      </x:c>
      <x:c r="B43" t="str">
        <x:v>Regla 6 Pliegues</x:v>
      </x:c>
      <x:c r="C43" t="str">
        <x:v>Moda</x:v>
      </x:c>
      <x:c r="D43" t="str">
        <x:v>Herramientas</x:v>
      </x:c>
      <x:c r="E43" t="str">
        <x:v>Medición</x:v>
      </x:c>
      <x:c r="F43" t="n">
        <x:v>0</x:v>
      </x:c>
      <x:c r="G43" t="str">
        <x:v>Agotado</x:v>
      </x:c>
      <x:c r="H43" s="24" t="n">
        <x:v>35900</x:v>
      </x:c>
      <x:c r="I43" s="24" t="n">
        <x:v>65900</x:v>
      </x:c>
      <x:c r="J43" s="24" t="str">
        <x:v>No visible</x:v>
      </x:c>
      <x:c r="K43" t="str">
        <x:v>Exclusivo</x:v>
      </x:c>
      <x:c r="L43" t="str">
        <x:v>STOCKEADO + ANDREY BUSINESS</x:v>
      </x:c>
      <x:c r="M43" t="str">
        <x:v>catalogo_2</x:v>
      </x:c>
      <x:c r="N43" t="str"/>
      <x:c r="O43" s="24" t="n">
        <x:f>IF(OR(H43="",I43=""),"",I43-H43)</x:f>
        <x:v>30000</x:v>
      </x:c>
      <x:c r="P43" s="26" t="n">
        <x:f>IF(OR(H43="",I43="",H43=0),"",(I43-H43)/H43)</x:f>
        <x:v>0.8356545961002786</x:v>
      </x:c>
      <x:c r="Q43" t="str">
        <x:f>IF(B43&lt;&gt;"","Sí","No")</x:f>
        <x:v>Sí</x:v>
      </x:c>
    </x:row>
    <x:row r="44">
      <x:c r="A44" t="n">
        <x:v>43</x:v>
      </x:c>
      <x:c r="B44" t="str">
        <x:v>Sonido Turbo Coche</x:v>
      </x:c>
      <x:c r="C44" t="str">
        <x:v>Vehículos</x:v>
      </x:c>
      <x:c r="D44" t="str">
        <x:v>Vehículos</x:v>
      </x:c>
      <x:c r="E44" t="str">
        <x:v>Accesorio vehículo</x:v>
      </x:c>
      <x:c r="F44" t="n">
        <x:v>5301</x:v>
      </x:c>
      <x:c r="G44" t="str">
        <x:v>Disponible</x:v>
      </x:c>
      <x:c r="H44" s="24"/>
      <x:c r="I44" s="24"/>
      <x:c r="J44" s="24" t="str">
        <x:v>Variable</x:v>
      </x:c>
      <x:c r="K44" t="str">
        <x:v>Exclusivo</x:v>
      </x:c>
      <x:c r="L44" t="str">
        <x:v>STOCKEADO + ANDREY BUSINESS</x:v>
      </x:c>
      <x:c r="M44" t="str">
        <x:v>catalogo_2</x:v>
      </x:c>
      <x:c r="N44" t="str">
        <x:v>Precio no legible</x:v>
      </x:c>
      <x:c r="O44" s="24" t="str">
        <x:f>IF(OR(H44="",I44=""),"",I44-H44)</x:f>
      </x:c>
      <x:c r="P44" s="26" t="str">
        <x:f>IF(OR(H44="",I44="",H44=0),"",(I44-H44)/H44)</x:f>
      </x:c>
      <x:c r="Q44" t="str">
        <x:f>IF(B44&lt;&gt;"","Sí","No")</x:f>
        <x:v>Sí</x:v>
      </x:c>
    </x:row>
    <x:row r="45">
      <x:c r="A45" t="n">
        <x:v>44</x:v>
      </x:c>
      <x:c r="B45" t="str">
        <x:v>Aqualife</x:v>
      </x:c>
      <x:c r="C45" t="str">
        <x:v>Otro</x:v>
      </x:c>
      <x:c r="D45" t="str">
        <x:v>Otro</x:v>
      </x:c>
      <x:c r="E45" t="str">
        <x:v>Filtro / acuario</x:v>
      </x:c>
      <x:c r="F45" t="n">
        <x:v>1</x:v>
      </x:c>
      <x:c r="G45" t="str">
        <x:v>Disponible</x:v>
      </x:c>
      <x:c r="H45" s="24" t="n">
        <x:v>22900</x:v>
      </x:c>
      <x:c r="I45" s="24" t="n">
        <x:v>34900</x:v>
      </x:c>
      <x:c r="J45" s="24" t="str">
        <x:v>No visible</x:v>
      </x:c>
      <x:c r="K45" t="str">
        <x:v>Exclusivo</x:v>
      </x:c>
      <x:c r="L45" t="str">
        <x:v>STOCKEADO + ANDREY BUSINESS</x:v>
      </x:c>
      <x:c r="M45" t="str">
        <x:v>catalogo_2</x:v>
      </x:c>
      <x:c r="N45" t="str"/>
      <x:c r="O45" s="24" t="n">
        <x:f>IF(OR(H45="",I45=""),"",I45-H45)</x:f>
        <x:v>12000</x:v>
      </x:c>
      <x:c r="P45" s="26" t="n">
        <x:f>IF(OR(H45="",I45="",H45=0),"",(I45-H45)/H45)</x:f>
        <x:v>0.5240174672489083</x:v>
      </x:c>
      <x:c r="Q45" t="str">
        <x:f>IF(B45&lt;&gt;"","Sí","No")</x:f>
        <x:v>Sí</x:v>
      </x:c>
    </x:row>
    <x:row r="46">
      <x:c r="A46" t="n">
        <x:v>45</x:v>
      </x:c>
      <x:c r="B46" t="str">
        <x:v>Recipientes Para Nevera</x:v>
      </x:c>
      <x:c r="C46" t="str">
        <x:v>Hogar</x:v>
      </x:c>
      <x:c r="D46" t="str">
        <x:v>Cocina</x:v>
      </x:c>
      <x:c r="E46" t="str">
        <x:v>Organizador nevera</x:v>
      </x:c>
      <x:c r="F46" t="n">
        <x:v>8</x:v>
      </x:c>
      <x:c r="G46" t="str">
        <x:v>Disponible</x:v>
      </x:c>
      <x:c r="H46" s="24" t="n">
        <x:v>19900</x:v>
      </x:c>
      <x:c r="I46" s="24" t="n">
        <x:v>49900</x:v>
      </x:c>
      <x:c r="J46" s="24" t="str">
        <x:v>No visible</x:v>
      </x:c>
      <x:c r="K46" t="str">
        <x:v>Exclusivo</x:v>
      </x:c>
      <x:c r="L46" t="str">
        <x:v>STOCKEADO + ANDREY BUSINESS</x:v>
      </x:c>
      <x:c r="M46" t="str">
        <x:v>catalogo_2</x:v>
      </x:c>
      <x:c r="N46" t="str"/>
      <x:c r="O46" s="24" t="n">
        <x:f>IF(OR(H46="",I46=""),"",I46-H46)</x:f>
        <x:v>30000</x:v>
      </x:c>
      <x:c r="P46" s="26" t="n">
        <x:f>IF(OR(H46="",I46="",H46=0),"",(I46-H46)/H46)</x:f>
        <x:v>1.5075376884422111</x:v>
      </x:c>
      <x:c r="Q46" t="str">
        <x:f>IF(B46&lt;&gt;"","Sí","No")</x:f>
        <x:v>Sí</x:v>
      </x:c>
    </x:row>
    <x:row r="47">
      <x:c r="A47" t="n">
        <x:v>46</x:v>
      </x:c>
      <x:c r="B47" t="str">
        <x:v>Organizador De Cajones Para Nevera</x:v>
      </x:c>
      <x:c r="C47" t="str">
        <x:v>Cocina</x:v>
      </x:c>
      <x:c r="D47" t="str">
        <x:v>Cocina</x:v>
      </x:c>
      <x:c r="E47" t="str">
        <x:v>Organizador nevera</x:v>
      </x:c>
      <x:c r="F47" t="n">
        <x:v>966</x:v>
      </x:c>
      <x:c r="G47" t="str">
        <x:v>Disponible</x:v>
      </x:c>
      <x:c r="H47" s="24" t="n">
        <x:v>19900</x:v>
      </x:c>
      <x:c r="I47" s="24" t="n">
        <x:v>31900</x:v>
      </x:c>
      <x:c r="J47" s="24" t="str">
        <x:v>No visible</x:v>
      </x:c>
      <x:c r="K47" t="str">
        <x:v>Exclusivo</x:v>
      </x:c>
      <x:c r="L47" t="str">
        <x:v>STOCKEADO + ANDREY BUSINESS</x:v>
      </x:c>
      <x:c r="M47" t="str">
        <x:v>catalogo_2</x:v>
      </x:c>
      <x:c r="N47" t="str"/>
      <x:c r="O47" s="24" t="n">
        <x:f>IF(OR(H47="",I47=""),"",I47-H47)</x:f>
        <x:v>12000</x:v>
      </x:c>
      <x:c r="P47" s="26" t="n">
        <x:f>IF(OR(H47="",I47="",H47=0),"",(I47-H47)/H47)</x:f>
        <x:v>0.6030150753768844</x:v>
      </x:c>
      <x:c r="Q47" t="str">
        <x:f>IF(B47&lt;&gt;"","Sí","No")</x:f>
        <x:v>Sí</x:v>
      </x:c>
    </x:row>
    <x:row r="48">
      <x:c r="A48" t="n">
        <x:v>47</x:v>
      </x:c>
      <x:c r="B48" t="str">
        <x:v>Tratamiento Para El Acne</x:v>
      </x:c>
      <x:c r="C48" t="str">
        <x:v>Belleza</x:v>
      </x:c>
      <x:c r="D48" t="str">
        <x:v>Belleza</x:v>
      </x:c>
      <x:c r="E48" t="str">
        <x:v>Cuidado facial</x:v>
      </x:c>
      <x:c r="F48" t="n">
        <x:v>21</x:v>
      </x:c>
      <x:c r="G48" t="str">
        <x:v>Disponible</x:v>
      </x:c>
      <x:c r="H48" s="24" t="n">
        <x:v>19900</x:v>
      </x:c>
      <x:c r="I48" s="24" t="n">
        <x:v>39900</x:v>
      </x:c>
      <x:c r="J48" s="24" t="str">
        <x:v>No visible</x:v>
      </x:c>
      <x:c r="K48" t="str">
        <x:v>Exclusivo</x:v>
      </x:c>
      <x:c r="L48" t="str">
        <x:v>STOCKEADO + ANDREY BUSINESS</x:v>
      </x:c>
      <x:c r="M48" t="str">
        <x:v>catalogo_2</x:v>
      </x:c>
      <x:c r="N48" t="str"/>
      <x:c r="O48" s="24" t="n">
        <x:f>IF(OR(H48="",I48=""),"",I48-H48)</x:f>
        <x:v>20000</x:v>
      </x:c>
      <x:c r="P48" s="26" t="n">
        <x:f>IF(OR(H48="",I48="",H48=0),"",(I48-H48)/H48)</x:f>
        <x:v>1.0050251256281406</x:v>
      </x:c>
      <x:c r="Q48" t="str">
        <x:f>IF(B48&lt;&gt;"","Sí","No")</x:f>
        <x:v>Sí</x:v>
      </x:c>
    </x:row>
    <x:row r="49">
      <x:c r="A49" t="n">
        <x:v>48</x:v>
      </x:c>
      <x:c r="B49" t="str">
        <x:v>Kit Sierras Taladro</x:v>
      </x:c>
      <x:c r="C49" t="str">
        <x:v>Herramientas</x:v>
      </x:c>
      <x:c r="D49" t="str">
        <x:v>Herramientas</x:v>
      </x:c>
      <x:c r="E49" t="str">
        <x:v>Taladro</x:v>
      </x:c>
      <x:c r="F49" t="n">
        <x:v>5</x:v>
      </x:c>
      <x:c r="G49" t="str">
        <x:v>Disponible</x:v>
      </x:c>
      <x:c r="H49" s="24" t="n">
        <x:v>17900</x:v>
      </x:c>
      <x:c r="I49" s="24" t="n">
        <x:v>37900</x:v>
      </x:c>
      <x:c r="J49" s="24" t="str">
        <x:v>No visible</x:v>
      </x:c>
      <x:c r="K49" t="str">
        <x:v>Exclusivo</x:v>
      </x:c>
      <x:c r="L49" t="str">
        <x:v>STOCKEADO + ANDREY BUSINESS</x:v>
      </x:c>
      <x:c r="M49" t="str">
        <x:v>catalogo_2</x:v>
      </x:c>
      <x:c r="N49" t="str"/>
      <x:c r="O49" s="24" t="n">
        <x:f>IF(OR(H49="",I49=""),"",I49-H49)</x:f>
        <x:v>20000</x:v>
      </x:c>
      <x:c r="P49" s="26" t="n">
        <x:f>IF(OR(H49="",I49="",H49=0),"",(I49-H49)/H49)</x:f>
        <x:v>1.1173184357541899</x:v>
      </x:c>
      <x:c r="Q49" t="str">
        <x:f>IF(B49&lt;&gt;"","Sí","No")</x:f>
        <x:v>Sí</x:v>
      </x:c>
    </x:row>
    <x:row r="50">
      <x:c r="A50" t="n">
        <x:v>49</x:v>
      </x:c>
      <x:c r="B50" t="str">
        <x:v>Flexstrap</x:v>
      </x:c>
      <x:c r="C50" t="str">
        <x:v>Salud</x:v>
      </x:c>
      <x:c r="D50" t="str">
        <x:v>Bienestar</x:v>
      </x:c>
      <x:c r="E50" t="str">
        <x:v>Soporte / postura</x:v>
      </x:c>
      <x:c r="F50" t="n">
        <x:v>252</x:v>
      </x:c>
      <x:c r="G50" t="str">
        <x:v>Disponible</x:v>
      </x:c>
      <x:c r="H50" s="24" t="n">
        <x:v>28900</x:v>
      </x:c>
      <x:c r="I50" s="24" t="n">
        <x:v>39900</x:v>
      </x:c>
      <x:c r="J50" s="24" t="str">
        <x:v>No visible</x:v>
      </x:c>
      <x:c r="K50" t="str">
        <x:v>Exclusivo</x:v>
      </x:c>
      <x:c r="L50" t="str">
        <x:v>STOCKEADO + ANDREY BUSINESS</x:v>
      </x:c>
      <x:c r="M50" t="str">
        <x:v>catalogo_2</x:v>
      </x:c>
      <x:c r="N50" t="str"/>
      <x:c r="O50" s="24" t="n">
        <x:f>IF(OR(H50="",I50=""),"",I50-H50)</x:f>
        <x:v>11000</x:v>
      </x:c>
      <x:c r="P50" s="26" t="n">
        <x:f>IF(OR(H50="",I50="",H50=0),"",(I50-H50)/H50)</x:f>
        <x:v>0.3806228373702422</x:v>
      </x:c>
      <x:c r="Q50" t="str">
        <x:f>IF(B50&lt;&gt;"","Sí","No")</x:f>
        <x:v>Sí</x:v>
      </x:c>
    </x:row>
    <x:row r="51">
      <x:c r="A51" t="n">
        <x:v>50</x:v>
      </x:c>
      <x:c r="B51" t="str">
        <x:v>Pedales Antideslizantes</x:v>
      </x:c>
      <x:c r="C51" t="str">
        <x:v>Vehículos</x:v>
      </x:c>
      <x:c r="D51" t="str">
        <x:v>Vehículos</x:v>
      </x:c>
      <x:c r="E51" t="str">
        <x:v>Accesorio vehículo</x:v>
      </x:c>
      <x:c r="F51" t="n">
        <x:v>94</x:v>
      </x:c>
      <x:c r="G51" t="str">
        <x:v>Disponible</x:v>
      </x:c>
      <x:c r="H51" s="24" t="n">
        <x:v>25900</x:v>
      </x:c>
      <x:c r="I51" s="24"/>
      <x:c r="J51" s="24" t="str">
        <x:v>Variable</x:v>
      </x:c>
      <x:c r="K51" t="str">
        <x:v>Exclusivo</x:v>
      </x:c>
      <x:c r="L51" t="str">
        <x:v>STOCKEADO + ANDREY BUSINESS</x:v>
      </x:c>
      <x:c r="M51" t="str">
        <x:v>catalogo_2</x:v>
      </x:c>
      <x:c r="N51" t="str"/>
      <x:c r="O51" s="24" t="str">
        <x:f>IF(OR(H51="",I51=""),"",I51-H51)</x:f>
      </x:c>
      <x:c r="P51" s="26" t="str">
        <x:f>IF(OR(H51="",I51="",H51=0),"",(I51-H51)/H51)</x:f>
      </x:c>
      <x:c r="Q51" t="str">
        <x:f>IF(B51&lt;&gt;"","Sí","No")</x:f>
        <x:v>Sí</x:v>
      </x:c>
    </x:row>
    <x:row r="52">
      <x:c r="A52" t="n">
        <x:v>51</x:v>
      </x:c>
      <x:c r="B52" t="str">
        <x:v>Pack Smartwatch Ultra Airpods Pro</x:v>
      </x:c>
      <x:c r="C52" t="str">
        <x:v>Tecnología</x:v>
      </x:c>
      <x:c r="D52" t="str">
        <x:v>Tecnología</x:v>
      </x:c>
      <x:c r="E52" t="str">
        <x:v>Smartwatch / audífonos</x:v>
      </x:c>
      <x:c r="F52" t="n">
        <x:v>910</x:v>
      </x:c>
      <x:c r="G52" t="str">
        <x:v>Disponible</x:v>
      </x:c>
      <x:c r="H52" s="24" t="n">
        <x:v>64000</x:v>
      </x:c>
      <x:c r="I52" s="24"/>
      <x:c r="J52" s="24" t="str">
        <x:v>Variable</x:v>
      </x:c>
      <x:c r="K52" t="str">
        <x:v>Exclusivo</x:v>
      </x:c>
      <x:c r="L52" t="str">
        <x:v>STOCKEADO + ANDREY BUSINESS</x:v>
      </x:c>
      <x:c r="M52" t="str">
        <x:v>catalogo_2</x:v>
      </x:c>
      <x:c r="N52" t="str">
        <x:v>Precio sugerido 0/no claro en screenshot</x:v>
      </x:c>
      <x:c r="O52" s="24" t="str">
        <x:f>IF(OR(H52="",I52=""),"",I52-H52)</x:f>
      </x:c>
      <x:c r="P52" s="26" t="str">
        <x:f>IF(OR(H52="",I52="",H52=0),"",(I52-H52)/H52)</x:f>
      </x:c>
      <x:c r="Q52" t="str">
        <x:f>IF(B52&lt;&gt;"","Sí","No")</x:f>
        <x:v>Sí</x:v>
      </x:c>
    </x:row>
    <x:row r="53">
      <x:c r="A53" t="n">
        <x:v>52</x:v>
      </x:c>
      <x:c r="B53" t="str">
        <x:v>Forro 3d Para Sillin</x:v>
      </x:c>
      <x:c r="C53" t="str">
        <x:v>Deportes</x:v>
      </x:c>
      <x:c r="D53" t="str">
        <x:v>Deportes</x:v>
      </x:c>
      <x:c r="E53" t="str">
        <x:v>Bicicleta / sillín</x:v>
      </x:c>
      <x:c r="F53" t="n">
        <x:v>33</x:v>
      </x:c>
      <x:c r="G53" t="str">
        <x:v>Disponible</x:v>
      </x:c>
      <x:c r="H53" s="24" t="n">
        <x:v>13900</x:v>
      </x:c>
      <x:c r="I53" s="24" t="n">
        <x:v>29900</x:v>
      </x:c>
      <x:c r="J53" s="24" t="str">
        <x:v>No visible</x:v>
      </x:c>
      <x:c r="K53" t="str">
        <x:v>Exclusivo</x:v>
      </x:c>
      <x:c r="L53" t="str">
        <x:v>STOCKEADO + ANDREY BUSINESS</x:v>
      </x:c>
      <x:c r="M53" t="str">
        <x:v>catalogo_2</x:v>
      </x:c>
      <x:c r="N53" t="str"/>
      <x:c r="O53" s="24" t="n">
        <x:f>IF(OR(H53="",I53=""),"",I53-H53)</x:f>
        <x:v>16000</x:v>
      </x:c>
      <x:c r="P53" s="26" t="n">
        <x:f>IF(OR(H53="",I53="",H53=0),"",(I53-H53)/H53)</x:f>
        <x:v>1.1510791366906474</x:v>
      </x:c>
      <x:c r="Q53" t="str">
        <x:f>IF(B53&lt;&gt;"","Sí","No")</x:f>
        <x:v>Sí</x:v>
      </x:c>
    </x:row>
    <x:row r="54">
      <x:c r="A54" t="n">
        <x:v>53</x:v>
      </x:c>
      <x:c r="B54" t="str">
        <x:v>Trampa Para Cucarachas</x:v>
      </x:c>
      <x:c r="C54" t="str">
        <x:v>Salud</x:v>
      </x:c>
      <x:c r="D54" t="str">
        <x:v>Hogar</x:v>
      </x:c>
      <x:c r="E54" t="str">
        <x:v>Control plagas</x:v>
      </x:c>
      <x:c r="F54" t="n">
        <x:v>475</x:v>
      </x:c>
      <x:c r="G54" t="str">
        <x:v>Disponible</x:v>
      </x:c>
      <x:c r="H54" s="24" t="n">
        <x:v>14900</x:v>
      </x:c>
      <x:c r="I54" s="24" t="n">
        <x:v>44900</x:v>
      </x:c>
      <x:c r="J54" s="24" t="str">
        <x:v>No visible</x:v>
      </x:c>
      <x:c r="K54" t="str">
        <x:v>Exclusivo</x:v>
      </x:c>
      <x:c r="L54" t="str">
        <x:v>STOCKEADO + ANDREY BUSINESS</x:v>
      </x:c>
      <x:c r="M54" t="str">
        <x:v>catalogo_2</x:v>
      </x:c>
      <x:c r="N54" t="str"/>
      <x:c r="O54" s="24" t="n">
        <x:f>IF(OR(H54="",I54=""),"",I54-H54)</x:f>
        <x:v>30000</x:v>
      </x:c>
      <x:c r="P54" s="26" t="n">
        <x:f>IF(OR(H54="",I54="",H54=0),"",(I54-H54)/H54)</x:f>
        <x:v>2.0134228187919465</x:v>
      </x:c>
      <x:c r="Q54" t="str">
        <x:f>IF(B54&lt;&gt;"","Sí","No")</x:f>
        <x:v>Sí</x:v>
      </x:c>
    </x:row>
    <x:row r="55">
      <x:c r="A55" t="n">
        <x:v>54</x:v>
      </x:c>
      <x:c r="B55" t="str">
        <x:v>Anillo De Vida</x:v>
      </x:c>
      <x:c r="C55" t="str">
        <x:v>Bisutería</x:v>
      </x:c>
      <x:c r="D55" t="str">
        <x:v>Bisutería</x:v>
      </x:c>
      <x:c r="E55" t="str">
        <x:v>Anillo</x:v>
      </x:c>
      <x:c r="F55" t="n">
        <x:v>72</x:v>
      </x:c>
      <x:c r="G55" t="str">
        <x:v>Disponible</x:v>
      </x:c>
      <x:c r="H55" s="24" t="n">
        <x:v>25900</x:v>
      </x:c>
      <x:c r="I55" s="24" t="n">
        <x:v>39900</x:v>
      </x:c>
      <x:c r="J55" s="24" t="str">
        <x:v>Variable</x:v>
      </x:c>
      <x:c r="K55" t="str">
        <x:v>Exclusivo</x:v>
      </x:c>
      <x:c r="L55" t="str">
        <x:v>STOCKEADO + ANDREY BUSINESS</x:v>
      </x:c>
      <x:c r="M55" t="str">
        <x:v>catalogo_3</x:v>
      </x:c>
      <x:c r="N55" t="str"/>
      <x:c r="O55" s="24" t="n">
        <x:f>IF(OR(H55="",I55=""),"",I55-H55)</x:f>
        <x:v>14000</x:v>
      </x:c>
      <x:c r="P55" s="26" t="n">
        <x:f>IF(OR(H55="",I55="",H55=0),"",(I55-H55)/H55)</x:f>
        <x:v>0.5405405405405406</x:v>
      </x:c>
      <x:c r="Q55" t="str">
        <x:f>IF(B55&lt;&gt;"","Sí","No")</x:f>
        <x:v>Sí</x:v>
      </x:c>
    </x:row>
    <x:row r="56">
      <x:c r="A56" t="n">
        <x:v>55</x:v>
      </x:c>
      <x:c r="B56" t="str">
        <x:v>Corta Metales</x:v>
      </x:c>
      <x:c r="C56" t="str">
        <x:v>Otro</x:v>
      </x:c>
      <x:c r="D56" t="str">
        <x:v>Herramientas</x:v>
      </x:c>
      <x:c r="E56" t="str">
        <x:v>Corte</x:v>
      </x:c>
      <x:c r="F56" t="n">
        <x:v>7</x:v>
      </x:c>
      <x:c r="G56" t="str">
        <x:v>Disponible</x:v>
      </x:c>
      <x:c r="H56" s="24" t="n">
        <x:v>35900</x:v>
      </x:c>
      <x:c r="I56" s="24" t="n">
        <x:v>48900</x:v>
      </x:c>
      <x:c r="J56" s="24" t="str">
        <x:v>No visible</x:v>
      </x:c>
      <x:c r="K56" t="str">
        <x:v>Exclusivo</x:v>
      </x:c>
      <x:c r="L56" t="str">
        <x:v>STOCKEADO + ANDREY BUSINESS</x:v>
      </x:c>
      <x:c r="M56" t="str">
        <x:v>catalogo_3</x:v>
      </x:c>
      <x:c r="N56" t="str"/>
      <x:c r="O56" s="24" t="n">
        <x:f>IF(OR(H56="",I56=""),"",I56-H56)</x:f>
        <x:v>13000</x:v>
      </x:c>
      <x:c r="P56" s="26" t="n">
        <x:f>IF(OR(H56="",I56="",H56=0),"",(I56-H56)/H56)</x:f>
        <x:v>0.362116991643454</x:v>
      </x:c>
      <x:c r="Q56" t="str">
        <x:f>IF(B56&lt;&gt;"","Sí","No")</x:f>
        <x:v>Sí</x:v>
      </x:c>
    </x:row>
    <x:row r="57">
      <x:c r="A57" t="n">
        <x:v>56</x:v>
      </x:c>
      <x:c r="B57" t="str">
        <x:v>Organizador De Ropa Y Calzado</x:v>
      </x:c>
      <x:c r="C57" t="str">
        <x:v>Hogar</x:v>
      </x:c>
      <x:c r="D57" t="str">
        <x:v>Hogar</x:v>
      </x:c>
      <x:c r="E57" t="str">
        <x:v>Organizador</x:v>
      </x:c>
      <x:c r="F57" t="n">
        <x:v>79</x:v>
      </x:c>
      <x:c r="G57" t="str">
        <x:v>Disponible</x:v>
      </x:c>
      <x:c r="H57" s="24" t="n">
        <x:v>41900</x:v>
      </x:c>
      <x:c r="I57" s="24" t="n">
        <x:v>71900</x:v>
      </x:c>
      <x:c r="J57" s="24" t="str">
        <x:v>No visible</x:v>
      </x:c>
      <x:c r="K57" t="str">
        <x:v>Exclusivo</x:v>
      </x:c>
      <x:c r="L57" t="str">
        <x:v>STOCKEADO + ANDREY BUSINESS</x:v>
      </x:c>
      <x:c r="M57" t="str">
        <x:v>catalogo_3</x:v>
      </x:c>
      <x:c r="N57" t="str"/>
      <x:c r="O57" s="24" t="n">
        <x:f>IF(OR(H57="",I57=""),"",I57-H57)</x:f>
        <x:v>30000</x:v>
      </x:c>
      <x:c r="P57" s="26" t="n">
        <x:f>IF(OR(H57="",I57="",H57=0),"",(I57-H57)/H57)</x:f>
        <x:v>0.7159904534606205</x:v>
      </x:c>
      <x:c r="Q57" t="str">
        <x:f>IF(B57&lt;&gt;"","Sí","No")</x:f>
        <x:v>Sí</x:v>
      </x:c>
    </x:row>
    <x:row r="58">
      <x:c r="A58" t="n">
        <x:v>57</x:v>
      </x:c>
      <x:c r="B58" t="str">
        <x:v>Rodillera Termica Medheat Dropi Cup</x:v>
      </x:c>
      <x:c r="C58" t="str">
        <x:v>Moda</x:v>
      </x:c>
      <x:c r="D58" t="str">
        <x:v>Bienestar</x:v>
      </x:c>
      <x:c r="E58" t="str">
        <x:v>Rodillera</x:v>
      </x:c>
      <x:c r="F58" t="n">
        <x:v>213</x:v>
      </x:c>
      <x:c r="G58" t="str">
        <x:v>Disponible</x:v>
      </x:c>
      <x:c r="H58" s="24" t="n">
        <x:v>29900</x:v>
      </x:c>
      <x:c r="I58" s="24" t="n">
        <x:v>59900</x:v>
      </x:c>
      <x:c r="J58" s="24" t="str">
        <x:v>No visible</x:v>
      </x:c>
      <x:c r="K58" t="str">
        <x:v>Exclusivo</x:v>
      </x:c>
      <x:c r="L58" t="str">
        <x:v>STOCKEADO + ANDREY BUSINESS</x:v>
      </x:c>
      <x:c r="M58" t="str">
        <x:v>catalogo_3</x:v>
      </x:c>
      <x:c r="N58" t="str"/>
      <x:c r="O58" s="24" t="n">
        <x:f>IF(OR(H58="",I58=""),"",I58-H58)</x:f>
        <x:v>30000</x:v>
      </x:c>
      <x:c r="P58" s="26" t="n">
        <x:f>IF(OR(H58="",I58="",H58=0),"",(I58-H58)/H58)</x:f>
        <x:v>1.0033444816053512</x:v>
      </x:c>
      <x:c r="Q58" t="str">
        <x:f>IF(B58&lt;&gt;"","Sí","No")</x:f>
        <x:v>Sí</x:v>
      </x:c>
    </x:row>
    <x:row r="59">
      <x:c r="A59" t="n">
        <x:v>58</x:v>
      </x:c>
      <x:c r="B59" t="str">
        <x:v>Cerca Practica</x:v>
      </x:c>
      <x:c r="C59" t="str">
        <x:v>Otro</x:v>
      </x:c>
      <x:c r="D59" t="str">
        <x:v>Hogar</x:v>
      </x:c>
      <x:c r="E59" t="str">
        <x:v>Organizador / separador</x:v>
      </x:c>
      <x:c r="F59" t="n">
        <x:v>8</x:v>
      </x:c>
      <x:c r="G59" t="str">
        <x:v>Disponible</x:v>
      </x:c>
      <x:c r="H59" s="24" t="n">
        <x:v>27900</x:v>
      </x:c>
      <x:c r="I59" s="24" t="n">
        <x:v>39900</x:v>
      </x:c>
      <x:c r="J59" s="24" t="str">
        <x:v>No visible</x:v>
      </x:c>
      <x:c r="K59" t="str">
        <x:v>Exclusivo</x:v>
      </x:c>
      <x:c r="L59" t="str">
        <x:v>STOCKEADO + ANDREY BUSINESS</x:v>
      </x:c>
      <x:c r="M59" t="str">
        <x:v>catalogo_3</x:v>
      </x:c>
      <x:c r="N59" t="str"/>
      <x:c r="O59" s="24" t="n">
        <x:f>IF(OR(H59="",I59=""),"",I59-H59)</x:f>
        <x:v>12000</x:v>
      </x:c>
      <x:c r="P59" s="26" t="n">
        <x:f>IF(OR(H59="",I59="",H59=0),"",(I59-H59)/H59)</x:f>
        <x:v>0.43010752688172044</x:v>
      </x:c>
      <x:c r="Q59" t="str">
        <x:f>IF(B59&lt;&gt;"","Sí","No")</x:f>
        <x:v>Sí</x:v>
      </x:c>
    </x:row>
    <x:row r="60">
      <x:c r="A60" t="n">
        <x:v>59</x:v>
      </x:c>
      <x:c r="B60" t="str">
        <x:v>Rodillo Removedor De Pelusa Y Polvo</x:v>
      </x:c>
      <x:c r="C60" t="str">
        <x:v>Mascotas</x:v>
      </x:c>
      <x:c r="D60" t="str">
        <x:v>Mascotas</x:v>
      </x:c>
      <x:c r="E60" t="str">
        <x:v>Limpieza mascotas</x:v>
      </x:c>
      <x:c r="F60" t="n">
        <x:v>4</x:v>
      </x:c>
      <x:c r="G60" t="str">
        <x:v>Disponible</x:v>
      </x:c>
      <x:c r="H60" s="24" t="n">
        <x:v>15900</x:v>
      </x:c>
      <x:c r="I60" s="24" t="n">
        <x:v>35900</x:v>
      </x:c>
      <x:c r="J60" s="24" t="str">
        <x:v>No visible</x:v>
      </x:c>
      <x:c r="K60" t="str">
        <x:v>Exclusivo</x:v>
      </x:c>
      <x:c r="L60" t="str">
        <x:v>STOCKEADO + ANDREY BUSINESS</x:v>
      </x:c>
      <x:c r="M60" t="str">
        <x:v>catalogo_3</x:v>
      </x:c>
      <x:c r="N60" t="str"/>
      <x:c r="O60" s="24" t="n">
        <x:f>IF(OR(H60="",I60=""),"",I60-H60)</x:f>
        <x:v>20000</x:v>
      </x:c>
      <x:c r="P60" s="26" t="n">
        <x:f>IF(OR(H60="",I60="",H60=0),"",(I60-H60)/H60)</x:f>
        <x:v>1.2578616352201257</x:v>
      </x:c>
      <x:c r="Q60" t="str">
        <x:f>IF(B60&lt;&gt;"","Sí","No")</x:f>
        <x:v>Sí</x:v>
      </x:c>
    </x:row>
    <x:row r="61">
      <x:c r="A61" t="n">
        <x:v>60</x:v>
      </x:c>
      <x:c r="B61" t="str">
        <x:v>Robot Aspirador Inteligente Art</x:v>
      </x:c>
      <x:c r="C61" t="str">
        <x:v>Tecnología</x:v>
      </x:c>
      <x:c r="D61" t="str">
        <x:v>Hogar</x:v>
      </x:c>
      <x:c r="E61" t="str">
        <x:v>Aspiradora</x:v>
      </x:c>
      <x:c r="F61" t="n">
        <x:v>1248</x:v>
      </x:c>
      <x:c r="G61" t="str">
        <x:v>Disponible</x:v>
      </x:c>
      <x:c r="H61" s="24" t="n">
        <x:v>48900</x:v>
      </x:c>
      <x:c r="I61" s="24" t="n">
        <x:v>78900</x:v>
      </x:c>
      <x:c r="J61" s="24" t="str">
        <x:v>No visible</x:v>
      </x:c>
      <x:c r="K61" t="str">
        <x:v>Exclusivo</x:v>
      </x:c>
      <x:c r="L61" t="str">
        <x:v>STOCKEADO + ANDREY BUSINESS</x:v>
      </x:c>
      <x:c r="M61" t="str">
        <x:v>catalogo_3</x:v>
      </x:c>
      <x:c r="N61" t="str"/>
      <x:c r="O61" s="24" t="n">
        <x:f>IF(OR(H61="",I61=""),"",I61-H61)</x:f>
        <x:v>30000</x:v>
      </x:c>
      <x:c r="P61" s="26" t="n">
        <x:f>IF(OR(H61="",I61="",H61=0),"",(I61-H61)/H61)</x:f>
        <x:v>0.6134969325153374</x:v>
      </x:c>
      <x:c r="Q61" t="str">
        <x:f>IF(B61&lt;&gt;"","Sí","No")</x:f>
        <x:v>Sí</x:v>
      </x:c>
    </x:row>
    <x:row r="62">
      <x:c r="A62" t="n">
        <x:v>61</x:v>
      </x:c>
      <x:c r="B62" t="str">
        <x:v>Cinta De Kinesiologia 1 Rollo 5cm X 5m</x:v>
      </x:c>
      <x:c r="C62" t="str">
        <x:v>Salud</x:v>
      </x:c>
      <x:c r="D62" t="str">
        <x:v>Bienestar</x:v>
      </x:c>
      <x:c r="E62" t="str">
        <x:v>Kinesiología</x:v>
      </x:c>
      <x:c r="F62" t="n">
        <x:v>38</x:v>
      </x:c>
      <x:c r="G62" t="str">
        <x:v>Disponible</x:v>
      </x:c>
      <x:c r="H62" s="24" t="n">
        <x:v>9900</x:v>
      </x:c>
      <x:c r="I62" s="24" t="n">
        <x:v>19900</x:v>
      </x:c>
      <x:c r="J62" s="24" t="str">
        <x:v>No visible</x:v>
      </x:c>
      <x:c r="K62" t="str">
        <x:v>Exclusivo</x:v>
      </x:c>
      <x:c r="L62" t="str">
        <x:v>STOCKEADO + ANDREY BUSINESS</x:v>
      </x:c>
      <x:c r="M62" t="str">
        <x:v>catalogo_3</x:v>
      </x:c>
      <x:c r="N62" t="str"/>
      <x:c r="O62" s="24" t="n">
        <x:f>IF(OR(H62="",I62=""),"",I62-H62)</x:f>
        <x:v>10000</x:v>
      </x:c>
      <x:c r="P62" s="26" t="n">
        <x:f>IF(OR(H62="",I62="",H62=0),"",(I62-H62)/H62)</x:f>
        <x:v>1.0101010101010102</x:v>
      </x:c>
      <x:c r="Q62" t="str">
        <x:f>IF(B62&lt;&gt;"","Sí","No")</x:f>
        <x:v>Sí</x:v>
      </x:c>
    </x:row>
    <x:row r="63">
      <x:c r="A63" t="n">
        <x:v>62</x:v>
      </x:c>
      <x:c r="B63" t="str">
        <x:v>Toalla Para El Cabello</x:v>
      </x:c>
      <x:c r="C63" t="str">
        <x:v>Moda</x:v>
      </x:c>
      <x:c r="D63" t="str">
        <x:v>Belleza</x:v>
      </x:c>
      <x:c r="E63" t="str">
        <x:v>Cabello</x:v>
      </x:c>
      <x:c r="F63" t="n">
        <x:v>1095</x:v>
      </x:c>
      <x:c r="G63" t="str">
        <x:v>Disponible</x:v>
      </x:c>
      <x:c r="H63" s="24" t="n">
        <x:v>12900</x:v>
      </x:c>
      <x:c r="I63" s="24" t="n">
        <x:v>32900</x:v>
      </x:c>
      <x:c r="J63" s="24" t="str">
        <x:v>No visible</x:v>
      </x:c>
      <x:c r="K63" t="str">
        <x:v>Exclusivo</x:v>
      </x:c>
      <x:c r="L63" t="str">
        <x:v>STOCKEADO + ANDREY BUSINESS</x:v>
      </x:c>
      <x:c r="M63" t="str">
        <x:v>catalogo_3</x:v>
      </x:c>
      <x:c r="N63" t="str"/>
      <x:c r="O63" s="24" t="n">
        <x:f>IF(OR(H63="",I63=""),"",I63-H63)</x:f>
        <x:v>20000</x:v>
      </x:c>
      <x:c r="P63" s="26" t="n">
        <x:f>IF(OR(H63="",I63="",H63=0),"",(I63-H63)/H63)</x:f>
        <x:v>1.550387596899225</x:v>
      </x:c>
      <x:c r="Q63" t="str">
        <x:f>IF(B63&lt;&gt;"","Sí","No")</x:f>
        <x:v>Sí</x:v>
      </x:c>
    </x:row>
    <x:row r="64">
      <x:c r="A64" t="n">
        <x:v>63</x:v>
      </x:c>
      <x:c r="B64" t="str">
        <x:v>Brazalete Hijo</x:v>
      </x:c>
      <x:c r="C64" t="str">
        <x:v>Bisutería</x:v>
      </x:c>
      <x:c r="D64" t="str">
        <x:v>Bisutería</x:v>
      </x:c>
      <x:c r="E64" t="str">
        <x:v>Brazalete</x:v>
      </x:c>
      <x:c r="F64" t="n">
        <x:v>1</x:v>
      </x:c>
      <x:c r="G64" t="str">
        <x:v>Disponible</x:v>
      </x:c>
      <x:c r="H64" s="24" t="n">
        <x:v>11900</x:v>
      </x:c>
      <x:c r="I64" s="24" t="n">
        <x:v>32900</x:v>
      </x:c>
      <x:c r="J64" s="24" t="str">
        <x:v>No visible</x:v>
      </x:c>
      <x:c r="K64" t="str">
        <x:v>Exclusivo</x:v>
      </x:c>
      <x:c r="L64" t="str">
        <x:v>STOCKEADO + ANDREY BUSINESS</x:v>
      </x:c>
      <x:c r="M64" t="str">
        <x:v>catalogo_3</x:v>
      </x:c>
      <x:c r="N64" t="str"/>
      <x:c r="O64" s="24" t="n">
        <x:f>IF(OR(H64="",I64=""),"",I64-H64)</x:f>
        <x:v>21000</x:v>
      </x:c>
      <x:c r="P64" s="26" t="n">
        <x:f>IF(OR(H64="",I64="",H64=0),"",(I64-H64)/H64)</x:f>
        <x:v>1.7647058823529411</x:v>
      </x:c>
      <x:c r="Q64" t="str">
        <x:f>IF(B64&lt;&gt;"","Sí","No")</x:f>
        <x:v>Sí</x:v>
      </x:c>
    </x:row>
    <x:row r="65">
      <x:c r="A65" t="n">
        <x:v>64</x:v>
      </x:c>
      <x:c r="B65" t="str">
        <x:v>Guantes Indestructibles</x:v>
      </x:c>
      <x:c r="C65" t="str">
        <x:v>Moda</x:v>
      </x:c>
      <x:c r="D65" t="str">
        <x:v>Herramientas</x:v>
      </x:c>
      <x:c r="E65" t="str">
        <x:v>Guantes</x:v>
      </x:c>
      <x:c r="F65" t="n">
        <x:v>8</x:v>
      </x:c>
      <x:c r="G65" t="str">
        <x:v>Disponible</x:v>
      </x:c>
      <x:c r="H65" s="24" t="n">
        <x:v>43900</x:v>
      </x:c>
      <x:c r="I65" s="24"/>
      <x:c r="J65" s="24" t="str">
        <x:v>Variable</x:v>
      </x:c>
      <x:c r="K65" t="str">
        <x:v>Exclusivo</x:v>
      </x:c>
      <x:c r="L65" t="str">
        <x:v>STOCKEADO + ANDREY BUSINESS</x:v>
      </x:c>
      <x:c r="M65" t="str">
        <x:v>catalogo_3</x:v>
      </x:c>
      <x:c r="N65" t="str"/>
      <x:c r="O65" s="24" t="str">
        <x:f>IF(OR(H65="",I65=""),"",I65-H65)</x:f>
      </x:c>
      <x:c r="P65" s="26" t="str">
        <x:f>IF(OR(H65="",I65="",H65=0),"",(I65-H65)/H65)</x:f>
      </x:c>
      <x:c r="Q65" t="str">
        <x:f>IF(B65&lt;&gt;"","Sí","No")</x:f>
        <x:v>Sí</x:v>
      </x:c>
    </x:row>
    <x:row r="66">
      <x:c r="A66" t="n">
        <x:v>65</x:v>
      </x:c>
      <x:c r="B66" t="str">
        <x:v>Sandalias Ortopedicas Fashion</x:v>
      </x:c>
      <x:c r="C66" t="str">
        <x:v>Moda</x:v>
      </x:c>
      <x:c r="D66" t="str">
        <x:v>Moda</x:v>
      </x:c>
      <x:c r="E66" t="str">
        <x:v>Calzado</x:v>
      </x:c>
      <x:c r="F66" t="n">
        <x:v>118</x:v>
      </x:c>
      <x:c r="G66" t="str">
        <x:v>Disponible</x:v>
      </x:c>
      <x:c r="H66" s="24" t="n">
        <x:v>55900</x:v>
      </x:c>
      <x:c r="I66" s="24"/>
      <x:c r="J66" s="24" t="str">
        <x:v>Variable</x:v>
      </x:c>
      <x:c r="K66" t="str">
        <x:v>Exclusivo</x:v>
      </x:c>
      <x:c r="L66" t="str">
        <x:v>STOCKEADO + ANDREY BUSINESS</x:v>
      </x:c>
      <x:c r="M66" t="str">
        <x:v>catalogo_3</x:v>
      </x:c>
      <x:c r="N66" t="str"/>
      <x:c r="O66" s="24" t="str">
        <x:f>IF(OR(H66="",I66=""),"",I66-H66)</x:f>
      </x:c>
      <x:c r="P66" s="26" t="str">
        <x:f>IF(OR(H66="",I66="",H66=0),"",(I66-H66)/H66)</x:f>
      </x:c>
      <x:c r="Q66" t="str">
        <x:f>IF(B66&lt;&gt;"","Sí","No")</x:f>
        <x:v>Sí</x:v>
      </x:c>
    </x:row>
    <x:row r="67">
      <x:c r="A67" t="n">
        <x:v>66</x:v>
      </x:c>
      <x:c r="B67" t="str">
        <x:v>Juego Didactico Matematico</x:v>
      </x:c>
      <x:c r="C67" t="str">
        <x:v>Otro</x:v>
      </x:c>
      <x:c r="D67" t="str">
        <x:v>Juguetería</x:v>
      </x:c>
      <x:c r="E67" t="str">
        <x:v>Didáctico</x:v>
      </x:c>
      <x:c r="F67" t="n">
        <x:v>72</x:v>
      </x:c>
      <x:c r="G67" t="str">
        <x:v>Disponible</x:v>
      </x:c>
      <x:c r="H67" s="24" t="n">
        <x:v>29900</x:v>
      </x:c>
      <x:c r="I67" s="24" t="n">
        <x:v>49900</x:v>
      </x:c>
      <x:c r="J67" s="24" t="str">
        <x:v>No visible</x:v>
      </x:c>
      <x:c r="K67" t="str">
        <x:v>Exclusivo</x:v>
      </x:c>
      <x:c r="L67" t="str">
        <x:v>STOCKEADO + ANDREY BUSINESS</x:v>
      </x:c>
      <x:c r="M67" t="str">
        <x:v>catalogo_3</x:v>
      </x:c>
      <x:c r="N67" t="str"/>
      <x:c r="O67" s="24" t="n">
        <x:f>IF(OR(H67="",I67=""),"",I67-H67)</x:f>
        <x:v>20000</x:v>
      </x:c>
      <x:c r="P67" s="26" t="n">
        <x:f>IF(OR(H67="",I67="",H67=0),"",(I67-H67)/H67)</x:f>
        <x:v>0.6688963210702341</x:v>
      </x:c>
      <x:c r="Q67" t="str">
        <x:f>IF(B67&lt;&gt;"","Sí","No")</x:f>
        <x:v>Sí</x:v>
      </x:c>
    </x:row>
    <x:row r="68">
      <x:c r="A68" t="n">
        <x:v>67</x:v>
      </x:c>
      <x:c r="B68" t="str">
        <x:v>Aretes Colibri</x:v>
      </x:c>
      <x:c r="C68" t="str">
        <x:v>Bisutería</x:v>
      </x:c>
      <x:c r="D68" t="str">
        <x:v>Bisutería</x:v>
      </x:c>
      <x:c r="E68" t="str">
        <x:v>Aretes</x:v>
      </x:c>
      <x:c r="F68" t="n">
        <x:v>43</x:v>
      </x:c>
      <x:c r="G68" t="str">
        <x:v>Disponible</x:v>
      </x:c>
      <x:c r="H68" s="24" t="n">
        <x:v>8900</x:v>
      </x:c>
      <x:c r="I68" s="24" t="n">
        <x:v>19900</x:v>
      </x:c>
      <x:c r="J68" s="24" t="str">
        <x:v>Variable</x:v>
      </x:c>
      <x:c r="K68" t="str">
        <x:v>Exclusivo</x:v>
      </x:c>
      <x:c r="L68" t="str">
        <x:v>STOCKEADO + ANDREY BUSINESS</x:v>
      </x:c>
      <x:c r="M68" t="str">
        <x:v>catalogo_3</x:v>
      </x:c>
      <x:c r="N68" t="str"/>
      <x:c r="O68" s="24" t="n">
        <x:f>IF(OR(H68="",I68=""),"",I68-H68)</x:f>
        <x:v>11000</x:v>
      </x:c>
      <x:c r="P68" s="26" t="n">
        <x:f>IF(OR(H68="",I68="",H68=0),"",(I68-H68)/H68)</x:f>
        <x:v>1.2359550561797752</x:v>
      </x:c>
      <x:c r="Q68" t="str">
        <x:f>IF(B68&lt;&gt;"","Sí","No")</x:f>
        <x:v>Sí</x:v>
      </x:c>
    </x:row>
    <x:row r="69">
      <x:c r="A69" t="n">
        <x:v>68</x:v>
      </x:c>
      <x:c r="B69" t="str">
        <x:v>Lampara De Botella De Vino Recargable</x:v>
      </x:c>
      <x:c r="C69" t="str">
        <x:v>Hogar</x:v>
      </x:c>
      <x:c r="D69" t="str">
        <x:v>Hogar</x:v>
      </x:c>
      <x:c r="E69" t="str">
        <x:v>Lámpara</x:v>
      </x:c>
      <x:c r="F69" t="n">
        <x:v>7</x:v>
      </x:c>
      <x:c r="G69" t="str">
        <x:v>Disponible</x:v>
      </x:c>
      <x:c r="H69" s="24" t="n">
        <x:v>32900</x:v>
      </x:c>
      <x:c r="I69" s="24" t="n">
        <x:v>62900</x:v>
      </x:c>
      <x:c r="J69" s="24" t="str">
        <x:v>No visible</x:v>
      </x:c>
      <x:c r="K69" t="str">
        <x:v>Exclusivo</x:v>
      </x:c>
      <x:c r="L69" t="str">
        <x:v>STOCKEADO + ANDREY BUSINESS</x:v>
      </x:c>
      <x:c r="M69" t="str">
        <x:v>catalogo_3</x:v>
      </x:c>
      <x:c r="N69" t="str"/>
      <x:c r="O69" s="24" t="n">
        <x:f>IF(OR(H69="",I69=""),"",I69-H69)</x:f>
        <x:v>30000</x:v>
      </x:c>
      <x:c r="P69" s="26" t="n">
        <x:f>IF(OR(H69="",I69="",H69=0),"",(I69-H69)/H69)</x:f>
        <x:v>0.9118541033434651</x:v>
      </x:c>
      <x:c r="Q69" t="str">
        <x:f>IF(B69&lt;&gt;"","Sí","No")</x:f>
        <x:v>Sí</x:v>
      </x:c>
    </x:row>
    <x:row r="70">
      <x:c r="A70" t="n">
        <x:v>69</x:v>
      </x:c>
      <x:c r="B70" t="str">
        <x:v>Robot Aspirador Y Humidicador Pro</x:v>
      </x:c>
      <x:c r="C70" t="str">
        <x:v>Tecnología</x:v>
      </x:c>
      <x:c r="D70" t="str">
        <x:v>Hogar</x:v>
      </x:c>
      <x:c r="E70" t="str">
        <x:v>Aspiradora / humidificador</x:v>
      </x:c>
      <x:c r="F70" t="n">
        <x:v>50</x:v>
      </x:c>
      <x:c r="G70" t="str">
        <x:v>Disponible</x:v>
      </x:c>
      <x:c r="H70" s="24" t="n">
        <x:v>48900</x:v>
      </x:c>
      <x:c r="I70" s="24" t="n">
        <x:v>99900</x:v>
      </x:c>
      <x:c r="J70" s="24" t="str">
        <x:v>No visible</x:v>
      </x:c>
      <x:c r="K70" t="str">
        <x:v>Exclusivo</x:v>
      </x:c>
      <x:c r="L70" t="str">
        <x:v>STOCKEADO + ANDREY BUSINESS</x:v>
      </x:c>
      <x:c r="M70" t="str">
        <x:v>catalogo_3</x:v>
      </x:c>
      <x:c r="N70" t="str"/>
      <x:c r="O70" s="24" t="n">
        <x:f>IF(OR(H70="",I70=""),"",I70-H70)</x:f>
        <x:v>51000</x:v>
      </x:c>
      <x:c r="P70" s="26" t="n">
        <x:f>IF(OR(H70="",I70="",H70=0),"",(I70-H70)/H70)</x:f>
        <x:v>1.0429447852760736</x:v>
      </x:c>
      <x:c r="Q70" t="str">
        <x:f>IF(B70&lt;&gt;"","Sí","No")</x:f>
        <x:v>Sí</x:v>
      </x:c>
    </x:row>
    <x:row r="71">
      <x:c r="A71" t="n">
        <x:v>70</x:v>
      </x:c>
      <x:c r="B71" t="str">
        <x:v>Bikenda Laser Portatil</x:v>
      </x:c>
      <x:c r="C71" t="str">
        <x:v>Salud</x:v>
      </x:c>
      <x:c r="D71" t="str">
        <x:v>Bienestar</x:v>
      </x:c>
      <x:c r="E71" t="str">
        <x:v>Láser portátil</x:v>
      </x:c>
      <x:c r="F71" t="n">
        <x:v>1024</x:v>
      </x:c>
      <x:c r="G71" t="str">
        <x:v>Disponible</x:v>
      </x:c>
      <x:c r="H71" s="24" t="n">
        <x:v>12900</x:v>
      </x:c>
      <x:c r="I71" s="24" t="n">
        <x:v>39900</x:v>
      </x:c>
      <x:c r="J71" s="24" t="str">
        <x:v>No visible</x:v>
      </x:c>
      <x:c r="K71" t="str">
        <x:v>Exclusivo</x:v>
      </x:c>
      <x:c r="L71" t="str">
        <x:v>STOCKEADO + ANDREY BUSINESS</x:v>
      </x:c>
      <x:c r="M71" t="str">
        <x:v>catalogo_3</x:v>
      </x:c>
      <x:c r="N71" t="str"/>
      <x:c r="O71" s="24" t="n">
        <x:f>IF(OR(H71="",I71=""),"",I71-H71)</x:f>
        <x:v>27000</x:v>
      </x:c>
      <x:c r="P71" s="26" t="n">
        <x:f>IF(OR(H71="",I71="",H71=0),"",(I71-H71)/H71)</x:f>
        <x:v>2.0930232558139537</x:v>
      </x:c>
      <x:c r="Q71" t="str">
        <x:f>IF(B71&lt;&gt;"","Sí","No")</x:f>
        <x:v>Sí</x:v>
      </x:c>
    </x:row>
    <x:row r="72">
      <x:c r="A72" t="n">
        <x:v>71</x:v>
      </x:c>
      <x:c r="B72" t="str">
        <x:v>Malla De Ping Pong</x:v>
      </x:c>
      <x:c r="C72" t="str">
        <x:v>Deportes</x:v>
      </x:c>
      <x:c r="D72" t="str">
        <x:v>Deportes</x:v>
      </x:c>
      <x:c r="E72" t="str">
        <x:v>Ping pong</x:v>
      </x:c>
      <x:c r="F72" t="n">
        <x:v>12</x:v>
      </x:c>
      <x:c r="G72" t="str">
        <x:v>Disponible</x:v>
      </x:c>
      <x:c r="H72" s="24" t="n">
        <x:v>44900</x:v>
      </x:c>
      <x:c r="I72" s="24" t="n">
        <x:v>64900</x:v>
      </x:c>
      <x:c r="J72" s="24" t="str">
        <x:v>No visible</x:v>
      </x:c>
      <x:c r="K72" t="str">
        <x:v>Exclusivo</x:v>
      </x:c>
      <x:c r="L72" t="str">
        <x:v>STOCKEADO + ANDREY BUSINESS</x:v>
      </x:c>
      <x:c r="M72" t="str">
        <x:v>catalogo_3</x:v>
      </x:c>
      <x:c r="N72" t="str"/>
      <x:c r="O72" s="24" t="n">
        <x:f>IF(OR(H72="",I72=""),"",I72-H72)</x:f>
        <x:v>20000</x:v>
      </x:c>
      <x:c r="P72" s="26" t="n">
        <x:f>IF(OR(H72="",I72="",H72=0),"",(I72-H72)/H72)</x:f>
        <x:v>0.44543429844098</x:v>
      </x:c>
      <x:c r="Q72" t="str">
        <x:f>IF(B72&lt;&gt;"","Sí","No")</x:f>
        <x:v>Sí</x:v>
      </x:c>
    </x:row>
    <x:row r="73">
      <x:c r="A73" t="n">
        <x:v>72</x:v>
      </x:c>
      <x:c r="B73" t="str">
        <x:v>Varillas Titan Plus X 2</x:v>
      </x:c>
      <x:c r="C73" t="str">
        <x:v>Herramientas</x:v>
      </x:c>
      <x:c r="D73" t="str">
        <x:v>Herramientas</x:v>
      </x:c>
      <x:c r="E73" t="str">
        <x:v>Varillas</x:v>
      </x:c>
      <x:c r="F73" t="n">
        <x:v>1</x:v>
      </x:c>
      <x:c r="G73" t="str">
        <x:v>Disponible</x:v>
      </x:c>
      <x:c r="H73" s="24" t="n">
        <x:v>11900</x:v>
      </x:c>
      <x:c r="I73" s="24" t="n">
        <x:v>31900</x:v>
      </x:c>
      <x:c r="J73" s="24" t="str">
        <x:v>No visible</x:v>
      </x:c>
      <x:c r="K73" t="str">
        <x:v>Exclusivo</x:v>
      </x:c>
      <x:c r="L73" t="str">
        <x:v>STOCKEADO + ANDREY BUSINESS</x:v>
      </x:c>
      <x:c r="M73" t="str">
        <x:v>catalogo_3</x:v>
      </x:c>
      <x:c r="N73" t="str"/>
      <x:c r="O73" s="24" t="n">
        <x:f>IF(OR(H73="",I73=""),"",I73-H73)</x:f>
        <x:v>20000</x:v>
      </x:c>
      <x:c r="P73" s="26" t="n">
        <x:f>IF(OR(H73="",I73="",H73=0),"",(I73-H73)/H73)</x:f>
        <x:v>1.680672268907563</x:v>
      </x:c>
      <x:c r="Q73" t="str">
        <x:f>IF(B73&lt;&gt;"","Sí","No")</x:f>
        <x:v>Sí</x:v>
      </x:c>
    </x:row>
    <x:row r="74">
      <x:c r="A74" t="n">
        <x:v>73</x:v>
      </x:c>
      <x:c r="B74" t="str">
        <x:v>Enhebra</x:v>
      </x:c>
      <x:c r="C74" t="str">
        <x:v>Otro</x:v>
      </x:c>
      <x:c r="D74" t="str">
        <x:v>Hogar</x:v>
      </x:c>
      <x:c r="E74" t="str">
        <x:v>Costura</x:v>
      </x:c>
      <x:c r="F74" t="n">
        <x:v>26</x:v>
      </x:c>
      <x:c r="G74" t="str">
        <x:v>Disponible</x:v>
      </x:c>
      <x:c r="H74" s="24" t="n">
        <x:v>28900</x:v>
      </x:c>
      <x:c r="I74" s="24" t="n">
        <x:v>39900</x:v>
      </x:c>
      <x:c r="J74" s="24" t="str">
        <x:v>No visible</x:v>
      </x:c>
      <x:c r="K74" t="str">
        <x:v>Exclusivo</x:v>
      </x:c>
      <x:c r="L74" t="str">
        <x:v>STOCKEADO + ANDREY BUSINESS</x:v>
      </x:c>
      <x:c r="M74" t="str">
        <x:v>catalogo_3</x:v>
      </x:c>
      <x:c r="N74" t="str"/>
      <x:c r="O74" s="24" t="n">
        <x:f>IF(OR(H74="",I74=""),"",I74-H74)</x:f>
        <x:v>11000</x:v>
      </x:c>
      <x:c r="P74" s="26" t="n">
        <x:f>IF(OR(H74="",I74="",H74=0),"",(I74-H74)/H74)</x:f>
        <x:v>0.3806228373702422</x:v>
      </x:c>
      <x:c r="Q74" t="str">
        <x:f>IF(B74&lt;&gt;"","Sí","No")</x:f>
        <x:v>Sí</x:v>
      </x:c>
    </x:row>
    <x:row r="75">
      <x:c r="A75" t="n">
        <x:v>74</x:v>
      </x:c>
      <x:c r="B75" t="str">
        <x:v>Mini Enfriador De Aire</x:v>
      </x:c>
      <x:c r="C75" t="str">
        <x:v>Salud</x:v>
      </x:c>
      <x:c r="D75" t="str">
        <x:v>Hogar</x:v>
      </x:c>
      <x:c r="E75" t="str">
        <x:v>Ventilador / aire</x:v>
      </x:c>
      <x:c r="F75" t="n">
        <x:v>48</x:v>
      </x:c>
      <x:c r="G75" t="str">
        <x:v>Disponible</x:v>
      </x:c>
      <x:c r="H75" s="24" t="n">
        <x:v>45900</x:v>
      </x:c>
      <x:c r="I75" s="24" t="n">
        <x:v>75900</x:v>
      </x:c>
      <x:c r="J75" s="24" t="str">
        <x:v>No visible</x:v>
      </x:c>
      <x:c r="K75" t="str">
        <x:v>Exclusivo</x:v>
      </x:c>
      <x:c r="L75" t="str">
        <x:v>STOCKEADO + ANDREY BUSINESS</x:v>
      </x:c>
      <x:c r="M75" t="str">
        <x:v>catalogo_3</x:v>
      </x:c>
      <x:c r="N75" t="str"/>
      <x:c r="O75" s="24" t="n">
        <x:f>IF(OR(H75="",I75=""),"",I75-H75)</x:f>
        <x:v>30000</x:v>
      </x:c>
      <x:c r="P75" s="26" t="n">
        <x:f>IF(OR(H75="",I75="",H75=0),"",(I75-H75)/H75)</x:f>
        <x:v>0.6535947712418301</x:v>
      </x:c>
      <x:c r="Q75" t="str">
        <x:f>IF(B75&lt;&gt;"","Sí","No")</x:f>
        <x:v>Sí</x:v>
      </x:c>
    </x:row>
    <x:row r="76">
      <x:c r="A76" t="n">
        <x:v>75</x:v>
      </x:c>
      <x:c r="B76" t="str">
        <x:v>Avion Radiocontrol</x:v>
      </x:c>
      <x:c r="C76" t="str">
        <x:v>Juguetería</x:v>
      </x:c>
      <x:c r="D76" t="str">
        <x:v>Juguetería</x:v>
      </x:c>
      <x:c r="E76" t="str">
        <x:v>Control remoto</x:v>
      </x:c>
      <x:c r="F76" t="n">
        <x:v>80</x:v>
      </x:c>
      <x:c r="G76" t="str">
        <x:v>Disponible</x:v>
      </x:c>
      <x:c r="H76" s="24" t="n">
        <x:v>81900</x:v>
      </x:c>
      <x:c r="I76" s="24" t="n">
        <x:v>120900</x:v>
      </x:c>
      <x:c r="J76" s="24" t="str">
        <x:v>Variable</x:v>
      </x:c>
      <x:c r="K76" t="str">
        <x:v>Exclusivo</x:v>
      </x:c>
      <x:c r="L76" t="str">
        <x:v>STOCKEADO + ANDREY BUSINESS</x:v>
      </x:c>
      <x:c r="M76" t="str">
        <x:v>catalogo_3</x:v>
      </x:c>
      <x:c r="N76" t="str"/>
      <x:c r="O76" s="24" t="n">
        <x:f>IF(OR(H76="",I76=""),"",I76-H76)</x:f>
        <x:v>39000</x:v>
      </x:c>
      <x:c r="P76" s="26" t="n">
        <x:f>IF(OR(H76="",I76="",H76=0),"",(I76-H76)/H76)</x:f>
        <x:v>0.47619047619047616</x:v>
      </x:c>
      <x:c r="Q76" t="str">
        <x:f>IF(B76&lt;&gt;"","Sí","No")</x:f>
        <x:v>Sí</x:v>
      </x:c>
    </x:row>
    <x:row r="77">
      <x:c r="A77" t="n">
        <x:v>76</x:v>
      </x:c>
      <x:c r="B77" t="str">
        <x:v>Botines Viena</x:v>
      </x:c>
      <x:c r="C77" t="str">
        <x:v>Moda</x:v>
      </x:c>
      <x:c r="D77" t="str">
        <x:v>Moda</x:v>
      </x:c>
      <x:c r="E77" t="str">
        <x:v>Calzado</x:v>
      </x:c>
      <x:c r="F77" t="n">
        <x:v>201</x:v>
      </x:c>
      <x:c r="G77" t="str">
        <x:v>Disponible</x:v>
      </x:c>
      <x:c r="H77" s="24" t="n">
        <x:v>64900</x:v>
      </x:c>
      <x:c r="I77" s="24"/>
      <x:c r="J77" s="24" t="str">
        <x:v>Variable</x:v>
      </x:c>
      <x:c r="K77" t="str">
        <x:v>Exclusivo</x:v>
      </x:c>
      <x:c r="L77" t="str">
        <x:v>STOCKEADO + ANDREY BUSINESS</x:v>
      </x:c>
      <x:c r="M77" t="str">
        <x:v>catalogo_3</x:v>
      </x:c>
      <x:c r="N77" t="str"/>
      <x:c r="O77" s="24" t="str">
        <x:f>IF(OR(H77="",I77=""),"",I77-H77)</x:f>
      </x:c>
      <x:c r="P77" s="26" t="str">
        <x:f>IF(OR(H77="",I77="",H77=0),"",(I77-H77)/H77)</x:f>
      </x:c>
      <x:c r="Q77" t="str">
        <x:f>IF(B77&lt;&gt;"","Sí","No")</x:f>
        <x:v>Sí</x:v>
      </x:c>
    </x:row>
    <x:row r="78">
      <x:c r="A78" t="n">
        <x:v>77</x:v>
      </x:c>
      <x:c r="B78" t="str">
        <x:v>Brazalete Mama A Hijo</x:v>
      </x:c>
      <x:c r="C78" t="str">
        <x:v>Bisutería</x:v>
      </x:c>
      <x:c r="D78" t="str">
        <x:v>Bisutería</x:v>
      </x:c>
      <x:c r="E78" t="str">
        <x:v>Brazalete</x:v>
      </x:c>
      <x:c r="F78" t="n">
        <x:v>28</x:v>
      </x:c>
      <x:c r="G78" t="str">
        <x:v>Disponible</x:v>
      </x:c>
      <x:c r="H78" s="24" t="n">
        <x:v>12900</x:v>
      </x:c>
      <x:c r="I78" s="24" t="n">
        <x:v>39900</x:v>
      </x:c>
      <x:c r="J78" s="24" t="str">
        <x:v>No visible</x:v>
      </x:c>
      <x:c r="K78" t="str">
        <x:v>Exclusivo</x:v>
      </x:c>
      <x:c r="L78" t="str">
        <x:v>STOCKEADO + ANDREY BUSINESS</x:v>
      </x:c>
      <x:c r="M78" t="str">
        <x:v>catalogo_3</x:v>
      </x:c>
      <x:c r="N78" t="str"/>
      <x:c r="O78" s="24" t="n">
        <x:f>IF(OR(H78="",I78=""),"",I78-H78)</x:f>
        <x:v>27000</x:v>
      </x:c>
      <x:c r="P78" s="26" t="n">
        <x:f>IF(OR(H78="",I78="",H78=0),"",(I78-H78)/H78)</x:f>
        <x:v>2.0930232558139537</x:v>
      </x:c>
      <x:c r="Q78" t="str">
        <x:f>IF(B78&lt;&gt;"","Sí","No")</x:f>
        <x:v>Sí</x:v>
      </x:c>
    </x:row>
    <x:row r="79">
      <x:c r="A79" t="n">
        <x:v>78</x:v>
      </x:c>
      <x:c r="B79" t="str">
        <x:v>Collar Ave Fenix</x:v>
      </x:c>
      <x:c r="C79" t="str">
        <x:v>Bisutería</x:v>
      </x:c>
      <x:c r="D79" t="str">
        <x:v>Bisutería</x:v>
      </x:c>
      <x:c r="E79" t="str">
        <x:v>Collar</x:v>
      </x:c>
      <x:c r="F79" t="n">
        <x:v>6</x:v>
      </x:c>
      <x:c r="G79" t="str">
        <x:v>Disponible</x:v>
      </x:c>
      <x:c r="H79" s="24" t="n">
        <x:v>17900</x:v>
      </x:c>
      <x:c r="I79" s="24" t="n">
        <x:v>29900</x:v>
      </x:c>
      <x:c r="J79" s="24" t="str">
        <x:v>No visible</x:v>
      </x:c>
      <x:c r="K79" t="str">
        <x:v>Exclusivo</x:v>
      </x:c>
      <x:c r="L79" t="str">
        <x:v>STOCKEADO + ANDREY BUSINESS</x:v>
      </x:c>
      <x:c r="M79" t="str">
        <x:v>catalogo_3</x:v>
      </x:c>
      <x:c r="N79" t="str"/>
      <x:c r="O79" s="24" t="n">
        <x:f>IF(OR(H79="",I79=""),"",I79-H79)</x:f>
        <x:v>12000</x:v>
      </x:c>
      <x:c r="P79" s="26" t="n">
        <x:f>IF(OR(H79="",I79="",H79=0),"",(I79-H79)/H79)</x:f>
        <x:v>0.6703910614525139</x:v>
      </x:c>
      <x:c r="Q79" t="str">
        <x:f>IF(B79&lt;&gt;"","Sí","No")</x:f>
        <x:v>Sí</x:v>
      </x:c>
    </x:row>
    <x:row r="80">
      <x:c r="A80" t="n">
        <x:v>79</x:v>
      </x:c>
      <x:c r="B80" t="str">
        <x:v>Par Bocina Electric Snail</x:v>
      </x:c>
      <x:c r="C80" t="str">
        <x:v>Otro</x:v>
      </x:c>
      <x:c r="D80" t="str">
        <x:v>Vehículos</x:v>
      </x:c>
      <x:c r="E80" t="str">
        <x:v>Bocina</x:v>
      </x:c>
      <x:c r="F80" t="n">
        <x:v>8</x:v>
      </x:c>
      <x:c r="G80" t="str">
        <x:v>Disponible</x:v>
      </x:c>
      <x:c r="H80" s="24" t="n">
        <x:v>15900</x:v>
      </x:c>
      <x:c r="I80" s="24" t="n">
        <x:v>29900</x:v>
      </x:c>
      <x:c r="J80" s="24" t="str">
        <x:v>No visible</x:v>
      </x:c>
      <x:c r="K80" t="str">
        <x:v>Exclusivo</x:v>
      </x:c>
      <x:c r="L80" t="str">
        <x:v>STOCKEADO + ANDREY BUSINESS</x:v>
      </x:c>
      <x:c r="M80" t="str">
        <x:v>catalogo_3</x:v>
      </x:c>
      <x:c r="N80" t="str"/>
      <x:c r="O80" s="24" t="n">
        <x:f>IF(OR(H80="",I80=""),"",I80-H80)</x:f>
        <x:v>14000</x:v>
      </x:c>
      <x:c r="P80" s="26" t="n">
        <x:f>IF(OR(H80="",I80="",H80=0),"",(I80-H80)/H80)</x:f>
        <x:v>0.8805031446540881</x:v>
      </x:c>
      <x:c r="Q80" t="str">
        <x:f>IF(B80&lt;&gt;"","Sí","No")</x:f>
        <x:v>Sí</x:v>
      </x:c>
    </x:row>
    <x:row r="81">
      <x:c r="A81" t="n">
        <x:v>80</x:v>
      </x:c>
      <x:c r="B81" t="str">
        <x:v>Par Corrector De Juanetes Ortopedicos X2</x:v>
      </x:c>
      <x:c r="C81" t="str">
        <x:v>Salud</x:v>
      </x:c>
      <x:c r="D81" t="str">
        <x:v>Bienestar</x:v>
      </x:c>
      <x:c r="E81" t="str">
        <x:v>Corrector juanetes</x:v>
      </x:c>
      <x:c r="F81"/>
      <x:c r="G81" t="str">
        <x:v>Visible sin stock capturado</x:v>
      </x:c>
      <x:c r="H81" s="24" t="n">
        <x:v>24900</x:v>
      </x:c>
      <x:c r="I81" s="24" t="n">
        <x:v>54900</x:v>
      </x:c>
      <x:c r="J81" s="24" t="str">
        <x:v>No visible</x:v>
      </x:c>
      <x:c r="K81" t="str">
        <x:v>Exclusivo</x:v>
      </x:c>
      <x:c r="L81" t="str">
        <x:v>STOCKEADO + ANDREY BUSINESS</x:v>
      </x:c>
      <x:c r="M81" t="str">
        <x:v>catalogo_3</x:v>
      </x:c>
      <x:c r="N81" t="str">
        <x:v>Stock no legible</x:v>
      </x:c>
      <x:c r="O81" s="24" t="n">
        <x:f>IF(OR(H81="",I81=""),"",I81-H81)</x:f>
        <x:v>30000</x:v>
      </x:c>
      <x:c r="P81" s="26" t="n">
        <x:f>IF(OR(H81="",I81="",H81=0),"",(I81-H81)/H81)</x:f>
        <x:v>1.2048192771084338</x:v>
      </x:c>
      <x:c r="Q81" t="str">
        <x:f>IF(B81&lt;&gt;"","Sí","No")</x:f>
        <x:v>Sí</x:v>
      </x:c>
    </x:row>
    <x:row r="82">
      <x:c r="A82" t="n">
        <x:v>81</x:v>
      </x:c>
      <x:c r="B82" t="str">
        <x:v>Ventilador Portatil Para Carro</x:v>
      </x:c>
      <x:c r="C82" t="str">
        <x:v>Vehículos</x:v>
      </x:c>
      <x:c r="D82" t="str">
        <x:v>Vehículos</x:v>
      </x:c>
      <x:c r="E82" t="str">
        <x:v>Ventilador carro</x:v>
      </x:c>
      <x:c r="F82" t="n">
        <x:v>2</x:v>
      </x:c>
      <x:c r="G82" t="str">
        <x:v>Disponible</x:v>
      </x:c>
      <x:c r="H82" s="24" t="n">
        <x:v>27900</x:v>
      </x:c>
      <x:c r="I82" s="24" t="n">
        <x:v>47900</x:v>
      </x:c>
      <x:c r="J82" s="24" t="str">
        <x:v>No visible</x:v>
      </x:c>
      <x:c r="K82" t="str">
        <x:v>Exclusivo</x:v>
      </x:c>
      <x:c r="L82" t="str">
        <x:v>STOCKEADO + ANDREY BUSINESS</x:v>
      </x:c>
      <x:c r="M82" t="str">
        <x:v>catalogo_4</x:v>
      </x:c>
      <x:c r="N82" t="str"/>
      <x:c r="O82" s="24" t="n">
        <x:f>IF(OR(H82="",I82=""),"",I82-H82)</x:f>
        <x:v>20000</x:v>
      </x:c>
      <x:c r="P82" s="26" t="n">
        <x:f>IF(OR(H82="",I82="",H82=0),"",(I82-H82)/H82)</x:f>
        <x:v>0.7168458781362007</x:v>
      </x:c>
      <x:c r="Q82" t="str">
        <x:f>IF(B82&lt;&gt;"","Sí","No")</x:f>
        <x:v>Sí</x:v>
      </x:c>
    </x:row>
    <x:row r="83">
      <x:c r="A83" t="n">
        <x:v>82</x:v>
      </x:c>
      <x:c r="B83" t="str">
        <x:v>Extensor De Manubrio</x:v>
      </x:c>
      <x:c r="C83" t="str">
        <x:v>Deportes</x:v>
      </x:c>
      <x:c r="D83" t="str">
        <x:v>Deportes</x:v>
      </x:c>
      <x:c r="E83" t="str">
        <x:v>Bicicleta</x:v>
      </x:c>
      <x:c r="F83" t="n">
        <x:v>8</x:v>
      </x:c>
      <x:c r="G83" t="str">
        <x:v>Disponible</x:v>
      </x:c>
      <x:c r="H83" s="24" t="n">
        <x:v>41900</x:v>
      </x:c>
      <x:c r="I83" s="24" t="n">
        <x:v>61900</x:v>
      </x:c>
      <x:c r="J83" s="24" t="str">
        <x:v>No visible</x:v>
      </x:c>
      <x:c r="K83" t="str">
        <x:v>Exclusivo</x:v>
      </x:c>
      <x:c r="L83" t="str">
        <x:v>STOCKEADO + ANDREY BUSINESS</x:v>
      </x:c>
      <x:c r="M83" t="str">
        <x:v>catalogo_4</x:v>
      </x:c>
      <x:c r="N83" t="str"/>
      <x:c r="O83" s="24" t="n">
        <x:f>IF(OR(H83="",I83=""),"",I83-H83)</x:f>
        <x:v>20000</x:v>
      </x:c>
      <x:c r="P83" s="26" t="n">
        <x:f>IF(OR(H83="",I83="",H83=0),"",(I83-H83)/H83)</x:f>
        <x:v>0.477326968973747</x:v>
      </x:c>
      <x:c r="Q83" t="str">
        <x:f>IF(B83&lt;&gt;"","Sí","No")</x:f>
        <x:v>Sí</x:v>
      </x:c>
    </x:row>
    <x:row r="84">
      <x:c r="A84" t="n">
        <x:v>83</x:v>
      </x:c>
      <x:c r="B84" t="str">
        <x:v>Bateria Repuesto Aspiradora Potente</x:v>
      </x:c>
      <x:c r="C84" t="str">
        <x:v>Hogar</x:v>
      </x:c>
      <x:c r="D84" t="str">
        <x:v>Hogar</x:v>
      </x:c>
      <x:c r="E84" t="str">
        <x:v>Repuesto aspiradora</x:v>
      </x:c>
      <x:c r="F84" t="n">
        <x:v>40</x:v>
      </x:c>
      <x:c r="G84" t="str">
        <x:v>Disponible</x:v>
      </x:c>
      <x:c r="H84" s="24" t="n">
        <x:v>22900</x:v>
      </x:c>
      <x:c r="I84" s="24" t="n">
        <x:v>42900</x:v>
      </x:c>
      <x:c r="J84" s="24" t="str">
        <x:v>No visible</x:v>
      </x:c>
      <x:c r="K84" t="str">
        <x:v>Exclusivo</x:v>
      </x:c>
      <x:c r="L84" t="str">
        <x:v>STOCKEADO + ANDREY BUSINESS</x:v>
      </x:c>
      <x:c r="M84" t="str">
        <x:v>catalogo_4</x:v>
      </x:c>
      <x:c r="N84" t="str"/>
      <x:c r="O84" s="24" t="n">
        <x:f>IF(OR(H84="",I84=""),"",I84-H84)</x:f>
        <x:v>20000</x:v>
      </x:c>
      <x:c r="P84" s="26" t="n">
        <x:f>IF(OR(H84="",I84="",H84=0),"",(I84-H84)/H84)</x:f>
        <x:v>0.8733624454148472</x:v>
      </x:c>
      <x:c r="Q84" t="str">
        <x:f>IF(B84&lt;&gt;"","Sí","No")</x:f>
        <x:v>Sí</x:v>
      </x:c>
    </x:row>
    <x:row r="85">
      <x:c r="A85" t="n">
        <x:v>84</x:v>
      </x:c>
      <x:c r="B85" t="str">
        <x:v>Marker Pen Car X3 Und</x:v>
      </x:c>
      <x:c r="C85" t="str">
        <x:v>Otro</x:v>
      </x:c>
      <x:c r="D85" t="str">
        <x:v>Vehículos</x:v>
      </x:c>
      <x:c r="E85" t="str">
        <x:v>Marcador carro</x:v>
      </x:c>
      <x:c r="F85" t="n">
        <x:v>247</x:v>
      </x:c>
      <x:c r="G85" t="str">
        <x:v>Disponible</x:v>
      </x:c>
      <x:c r="H85" s="24" t="n">
        <x:v>17900</x:v>
      </x:c>
      <x:c r="I85" s="24" t="n">
        <x:v>29900</x:v>
      </x:c>
      <x:c r="J85" s="24" t="str">
        <x:v>No visible</x:v>
      </x:c>
      <x:c r="K85" t="str">
        <x:v>Exclusivo</x:v>
      </x:c>
      <x:c r="L85" t="str">
        <x:v>STOCKEADO + ANDREY BUSINESS</x:v>
      </x:c>
      <x:c r="M85" t="str">
        <x:v>catalogo_4</x:v>
      </x:c>
      <x:c r="N85" t="str"/>
      <x:c r="O85" s="24" t="n">
        <x:f>IF(OR(H85="",I85=""),"",I85-H85)</x:f>
        <x:v>12000</x:v>
      </x:c>
      <x:c r="P85" s="26" t="n">
        <x:f>IF(OR(H85="",I85="",H85=0),"",(I85-H85)/H85)</x:f>
        <x:v>0.6703910614525139</x:v>
      </x:c>
      <x:c r="Q85" t="str">
        <x:f>IF(B85&lt;&gt;"","Sí","No")</x:f>
        <x:v>Sí</x:v>
      </x:c>
    </x:row>
    <x:row r="86">
      <x:c r="A86" t="n">
        <x:v>85</x:v>
      </x:c>
      <x:c r="B86" t="str">
        <x:v>Aspersor Tripo Twist</x:v>
      </x:c>
      <x:c r="C86" t="str">
        <x:v>Hogar</x:v>
      </x:c>
      <x:c r="D86" t="str">
        <x:v>Hogar</x:v>
      </x:c>
      <x:c r="E86" t="str">
        <x:v>Jardín / aspersor</x:v>
      </x:c>
      <x:c r="F86" t="n">
        <x:v>72</x:v>
      </x:c>
      <x:c r="G86" t="str">
        <x:v>Disponible</x:v>
      </x:c>
      <x:c r="H86" s="24" t="n">
        <x:v>38900</x:v>
      </x:c>
      <x:c r="I86" s="24" t="n">
        <x:v>49900</x:v>
      </x:c>
      <x:c r="J86" s="24" t="str">
        <x:v>No visible</x:v>
      </x:c>
      <x:c r="K86" t="str">
        <x:v>Exclusivo</x:v>
      </x:c>
      <x:c r="L86" t="str">
        <x:v>STOCKEADO + ANDREY BUSINESS</x:v>
      </x:c>
      <x:c r="M86" t="str">
        <x:v>catalogo_4</x:v>
      </x:c>
      <x:c r="N86" t="str"/>
      <x:c r="O86" s="24" t="n">
        <x:f>IF(OR(H86="",I86=""),"",I86-H86)</x:f>
        <x:v>11000</x:v>
      </x:c>
      <x:c r="P86" s="26" t="n">
        <x:f>IF(OR(H86="",I86="",H86=0),"",(I86-H86)/H86)</x:f>
        <x:v>0.2827763496143959</x:v>
      </x:c>
      <x:c r="Q86" t="str">
        <x:f>IF(B86&lt;&gt;"","Sí","No")</x:f>
        <x:v>Sí</x:v>
      </x:c>
    </x:row>
    <x:row r="87">
      <x:c r="A87" t="n">
        <x:v>86</x:v>
      </x:c>
      <x:c r="B87" t="str">
        <x:v>Manguera A Presion Para Limpieza</x:v>
      </x:c>
      <x:c r="C87" t="str">
        <x:v>Vehículos</x:v>
      </x:c>
      <x:c r="D87" t="str">
        <x:v>Vehículos</x:v>
      </x:c>
      <x:c r="E87" t="str">
        <x:v>Limpieza vehículo</x:v>
      </x:c>
      <x:c r="F87" t="n">
        <x:v>331</x:v>
      </x:c>
      <x:c r="G87" t="str">
        <x:v>Disponible</x:v>
      </x:c>
      <x:c r="H87" s="24" t="n">
        <x:v>22900</x:v>
      </x:c>
      <x:c r="I87" s="24" t="n">
        <x:v>52900</x:v>
      </x:c>
      <x:c r="J87" s="24" t="str">
        <x:v>No visible</x:v>
      </x:c>
      <x:c r="K87" t="str">
        <x:v>Exclusivo</x:v>
      </x:c>
      <x:c r="L87" t="str">
        <x:v>STOCKEADO + ANDREY BUSINESS</x:v>
      </x:c>
      <x:c r="M87" t="str">
        <x:v>catalogo_4</x:v>
      </x:c>
      <x:c r="N87" t="str"/>
      <x:c r="O87" s="24" t="n">
        <x:f>IF(OR(H87="",I87=""),"",I87-H87)</x:f>
        <x:v>30000</x:v>
      </x:c>
      <x:c r="P87" s="26" t="n">
        <x:f>IF(OR(H87="",I87="",H87=0),"",(I87-H87)/H87)</x:f>
        <x:v>1.3100436681222707</x:v>
      </x:c>
      <x:c r="Q87" t="str">
        <x:f>IF(B87&lt;&gt;"","Sí","No")</x:f>
        <x:v>Sí</x:v>
      </x:c>
    </x:row>
    <x:row r="88">
      <x:c r="A88" t="n">
        <x:v>87</x:v>
      </x:c>
      <x:c r="B88" t="str">
        <x:v>Cadena De Luces Led</x:v>
      </x:c>
      <x:c r="C88" t="str">
        <x:v>Navidad</x:v>
      </x:c>
      <x:c r="D88" t="str">
        <x:v>Hogar</x:v>
      </x:c>
      <x:c r="E88" t="str">
        <x:v>Luces / decoración</x:v>
      </x:c>
      <x:c r="F88" t="n">
        <x:v>198</x:v>
      </x:c>
      <x:c r="G88" t="str">
        <x:v>Disponible</x:v>
      </x:c>
      <x:c r="H88" s="24" t="n">
        <x:v>34900</x:v>
      </x:c>
      <x:c r="I88" s="24" t="n">
        <x:v>59900</x:v>
      </x:c>
      <x:c r="J88" s="24" t="str">
        <x:v>No visible</x:v>
      </x:c>
      <x:c r="K88" t="str">
        <x:v>Exclusivo</x:v>
      </x:c>
      <x:c r="L88" t="str">
        <x:v>STOCKEADO + ANDREY BUSINESS</x:v>
      </x:c>
      <x:c r="M88" t="str">
        <x:v>catalogo_4</x:v>
      </x:c>
      <x:c r="N88" t="str"/>
      <x:c r="O88" s="24" t="n">
        <x:f>IF(OR(H88="",I88=""),"",I88-H88)</x:f>
        <x:v>25000</x:v>
      </x:c>
      <x:c r="P88" s="26" t="n">
        <x:f>IF(OR(H88="",I88="",H88=0),"",(I88-H88)/H88)</x:f>
        <x:v>0.7163323782234957</x:v>
      </x:c>
      <x:c r="Q88" t="str">
        <x:f>IF(B88&lt;&gt;"","Sí","No")</x:f>
        <x:v>Sí</x:v>
      </x:c>
    </x:row>
    <x:row r="89">
      <x:c r="A89" t="n">
        <x:v>88</x:v>
      </x:c>
      <x:c r="B89" t="str">
        <x:v>Maestro Ranura</x:v>
      </x:c>
      <x:c r="C89" t="str">
        <x:v>Herramientas</x:v>
      </x:c>
      <x:c r="D89" t="str">
        <x:v>Herramientas</x:v>
      </x:c>
      <x:c r="E89" t="str">
        <x:v>Herramienta</x:v>
      </x:c>
      <x:c r="F89" t="n">
        <x:v>118</x:v>
      </x:c>
      <x:c r="G89" t="str">
        <x:v>Disponible</x:v>
      </x:c>
      <x:c r="H89" s="24" t="n">
        <x:v>68900</x:v>
      </x:c>
      <x:c r="I89" s="24" t="n">
        <x:v>89900</x:v>
      </x:c>
      <x:c r="J89" s="24" t="str">
        <x:v>No visible</x:v>
      </x:c>
      <x:c r="K89" t="str">
        <x:v>Exclusivo</x:v>
      </x:c>
      <x:c r="L89" t="str">
        <x:v>STOCKEADO + ANDREY BUSINESS</x:v>
      </x:c>
      <x:c r="M89" t="str">
        <x:v>catalogo_4</x:v>
      </x:c>
      <x:c r="N89" t="str"/>
      <x:c r="O89" s="24" t="n">
        <x:f>IF(OR(H89="",I89=""),"",I89-H89)</x:f>
        <x:v>21000</x:v>
      </x:c>
      <x:c r="P89" s="26" t="n">
        <x:f>IF(OR(H89="",I89="",H89=0),"",(I89-H89)/H89)</x:f>
        <x:v>0.3047895500725689</x:v>
      </x:c>
      <x:c r="Q89" t="str">
        <x:f>IF(B89&lt;&gt;"","Sí","No")</x:f>
        <x:v>Sí</x:v>
      </x:c>
    </x:row>
    <x:row r="90">
      <x:c r="A90" t="n">
        <x:v>89</x:v>
      </x:c>
      <x:c r="B90" t="str">
        <x:v>Bolso Pocket Pro</x:v>
      </x:c>
      <x:c r="C90" t="str">
        <x:v>Moda</x:v>
      </x:c>
      <x:c r="D90" t="str">
        <x:v>Moda</x:v>
      </x:c>
      <x:c r="E90" t="str">
        <x:v>Bolso</x:v>
      </x:c>
      <x:c r="F90" t="n">
        <x:v>155</x:v>
      </x:c>
      <x:c r="G90" t="str">
        <x:v>Disponible</x:v>
      </x:c>
      <x:c r="H90" s="24" t="n">
        <x:v>44900</x:v>
      </x:c>
      <x:c r="I90" s="24" t="n">
        <x:v>69900</x:v>
      </x:c>
      <x:c r="J90" s="24" t="str">
        <x:v>Variable</x:v>
      </x:c>
      <x:c r="K90" t="str">
        <x:v>Exclusivo</x:v>
      </x:c>
      <x:c r="L90" t="str">
        <x:v>STOCKEADO + ANDREY BUSINESS</x:v>
      </x:c>
      <x:c r="M90" t="str">
        <x:v>catalogo_4</x:v>
      </x:c>
      <x:c r="N90" t="str"/>
      <x:c r="O90" s="24" t="n">
        <x:f>IF(OR(H90="",I90=""),"",I90-H90)</x:f>
        <x:v>25000</x:v>
      </x:c>
      <x:c r="P90" s="26" t="n">
        <x:f>IF(OR(H90="",I90="",H90=0),"",(I90-H90)/H90)</x:f>
        <x:v>0.5567928730512249</x:v>
      </x:c>
      <x:c r="Q90" t="str">
        <x:f>IF(B90&lt;&gt;"","Sí","No")</x:f>
        <x:v>Sí</x:v>
      </x:c>
    </x:row>
    <x:row r="91">
      <x:c r="A91" t="n">
        <x:v>90</x:v>
      </x:c>
      <x:c r="B91" t="str">
        <x:v>Cepillo De Mascotas A Vapor</x:v>
      </x:c>
      <x:c r="C91" t="str">
        <x:v>Mascotas</x:v>
      </x:c>
      <x:c r="D91" t="str">
        <x:v>Mascotas</x:v>
      </x:c>
      <x:c r="E91" t="str">
        <x:v>Cepillo</x:v>
      </x:c>
      <x:c r="F91" t="n">
        <x:v>12</x:v>
      </x:c>
      <x:c r="G91" t="str">
        <x:v>Disponible</x:v>
      </x:c>
      <x:c r="H91" s="24" t="n">
        <x:v>29900</x:v>
      </x:c>
      <x:c r="I91" s="24" t="n">
        <x:v>48900</x:v>
      </x:c>
      <x:c r="J91" s="24" t="str">
        <x:v>No visible</x:v>
      </x:c>
      <x:c r="K91" t="str">
        <x:v>Exclusivo</x:v>
      </x:c>
      <x:c r="L91" t="str">
        <x:v>STOCKEADO + ANDREY BUSINESS</x:v>
      </x:c>
      <x:c r="M91" t="str">
        <x:v>catalogo_4</x:v>
      </x:c>
      <x:c r="N91" t="str"/>
      <x:c r="O91" s="24" t="n">
        <x:f>IF(OR(H91="",I91=""),"",I91-H91)</x:f>
        <x:v>19000</x:v>
      </x:c>
      <x:c r="P91" s="26" t="n">
        <x:f>IF(OR(H91="",I91="",H91=0),"",(I91-H91)/H91)</x:f>
        <x:v>0.6354515050167224</x:v>
      </x:c>
      <x:c r="Q91" t="str">
        <x:f>IF(B91&lt;&gt;"","Sí","No")</x:f>
        <x:v>Sí</x:v>
      </x:c>
    </x:row>
    <x:row r="92">
      <x:c r="A92" t="n">
        <x:v>91</x:v>
      </x:c>
      <x:c r="B92" t="str">
        <x:v>Soporte Para Pulidora</x:v>
      </x:c>
      <x:c r="C92" t="str">
        <x:v>Herramientas</x:v>
      </x:c>
      <x:c r="D92" t="str">
        <x:v>Herramientas</x:v>
      </x:c>
      <x:c r="E92" t="str">
        <x:v>Soporte</x:v>
      </x:c>
      <x:c r="F92" t="n">
        <x:v>52</x:v>
      </x:c>
      <x:c r="G92" t="str">
        <x:v>Disponible</x:v>
      </x:c>
      <x:c r="H92" s="24" t="n">
        <x:v>13900</x:v>
      </x:c>
      <x:c r="I92" s="24" t="n">
        <x:v>33900</x:v>
      </x:c>
      <x:c r="J92" s="24" t="str">
        <x:v>No visible</x:v>
      </x:c>
      <x:c r="K92" t="str">
        <x:v>Exclusivo</x:v>
      </x:c>
      <x:c r="L92" t="str">
        <x:v>STOCKEADO + ANDREY BUSINESS</x:v>
      </x:c>
      <x:c r="M92" t="str">
        <x:v>catalogo_4</x:v>
      </x:c>
      <x:c r="N92" t="str"/>
      <x:c r="O92" s="24" t="n">
        <x:f>IF(OR(H92="",I92=""),"",I92-H92)</x:f>
        <x:v>20000</x:v>
      </x:c>
      <x:c r="P92" s="26" t="n">
        <x:f>IF(OR(H92="",I92="",H92=0),"",(I92-H92)/H92)</x:f>
        <x:v>1.4388489208633093</x:v>
      </x:c>
      <x:c r="Q92" t="str">
        <x:f>IF(B92&lt;&gt;"","Sí","No")</x:f>
        <x:v>Sí</x:v>
      </x:c>
    </x:row>
    <x:row r="93">
      <x:c r="A93" t="n">
        <x:v>92</x:v>
      </x:c>
      <x:c r="B93" t="str">
        <x:v>Mini Parrilla Bbq</x:v>
      </x:c>
      <x:c r="C93" t="str">
        <x:v>Natural Home</x:v>
      </x:c>
      <x:c r="D93" t="str">
        <x:v>Hogar</x:v>
      </x:c>
      <x:c r="E93" t="str">
        <x:v>Parrilla</x:v>
      </x:c>
      <x:c r="F93" t="n">
        <x:v>38</x:v>
      </x:c>
      <x:c r="G93" t="str">
        <x:v>Disponible</x:v>
      </x:c>
      <x:c r="H93" s="24" t="n">
        <x:v>49900</x:v>
      </x:c>
      <x:c r="I93" s="24" t="n">
        <x:v>79900</x:v>
      </x:c>
      <x:c r="J93" s="24" t="str">
        <x:v>No visible</x:v>
      </x:c>
      <x:c r="K93" t="str">
        <x:v>Exclusivo</x:v>
      </x:c>
      <x:c r="L93" t="str">
        <x:v>STOCKEADO + ANDREY BUSINESS</x:v>
      </x:c>
      <x:c r="M93" t="str">
        <x:v>catalogo_4</x:v>
      </x:c>
      <x:c r="N93" t="str"/>
      <x:c r="O93" s="24" t="n">
        <x:f>IF(OR(H93="",I93=""),"",I93-H93)</x:f>
        <x:v>30000</x:v>
      </x:c>
      <x:c r="P93" s="26" t="n">
        <x:f>IF(OR(H93="",I93="",H93=0),"",(I93-H93)/H93)</x:f>
        <x:v>0.6012024048096193</x:v>
      </x:c>
      <x:c r="Q93" t="str">
        <x:f>IF(B93&lt;&gt;"","Sí","No")</x:f>
        <x:v>Sí</x:v>
      </x:c>
    </x:row>
    <x:row r="94">
      <x:c r="A94" t="n">
        <x:v>93</x:v>
      </x:c>
      <x:c r="B94" t="str">
        <x:v>Manta A La Virgen</x:v>
      </x:c>
      <x:c r="C94" t="str">
        <x:v>Hogar</x:v>
      </x:c>
      <x:c r="D94" t="str">
        <x:v>Hogar</x:v>
      </x:c>
      <x:c r="E94" t="str">
        <x:v>Manta / decoración</x:v>
      </x:c>
      <x:c r="F94" t="n">
        <x:v>3</x:v>
      </x:c>
      <x:c r="G94" t="str">
        <x:v>Disponible</x:v>
      </x:c>
      <x:c r="H94" s="24" t="n">
        <x:v>29900</x:v>
      </x:c>
      <x:c r="I94" s="24" t="n">
        <x:v>65900</x:v>
      </x:c>
      <x:c r="J94" s="24" t="str">
        <x:v>Variable</x:v>
      </x:c>
      <x:c r="K94" t="str">
        <x:v>Exclusivo</x:v>
      </x:c>
      <x:c r="L94" t="str">
        <x:v>STOCKEADO + ANDREY BUSINESS</x:v>
      </x:c>
      <x:c r="M94" t="str">
        <x:v>catalogo_4</x:v>
      </x:c>
      <x:c r="N94" t="str"/>
      <x:c r="O94" s="24" t="n">
        <x:f>IF(OR(H94="",I94=""),"",I94-H94)</x:f>
        <x:v>36000</x:v>
      </x:c>
      <x:c r="P94" s="26" t="n">
        <x:f>IF(OR(H94="",I94="",H94=0),"",(I94-H94)/H94)</x:f>
        <x:v>1.2040133779264215</x:v>
      </x:c>
      <x:c r="Q94" t="str">
        <x:f>IF(B94&lt;&gt;"","Sí","No")</x:f>
        <x:v>Sí</x:v>
      </x:c>
    </x:row>
    <x:row r="95">
      <x:c r="A95" t="n">
        <x:v>94</x:v>
      </x:c>
      <x:c r="B95" t="str">
        <x:v>Quemador De Grasa Lemme Burn</x:v>
      </x:c>
      <x:c r="C95" t="str">
        <x:v>Salud</x:v>
      </x:c>
      <x:c r="D95" t="str">
        <x:v>Bienestar</x:v>
      </x:c>
      <x:c r="E95" t="str">
        <x:v>Suplemento / quemador</x:v>
      </x:c>
      <x:c r="F95" t="n">
        <x:v>529</x:v>
      </x:c>
      <x:c r="G95" t="str">
        <x:v>Disponible</x:v>
      </x:c>
      <x:c r="H95" s="24" t="n">
        <x:v>24900</x:v>
      </x:c>
      <x:c r="I95" s="24" t="n">
        <x:v>39900</x:v>
      </x:c>
      <x:c r="J95" s="24" t="str">
        <x:v>No visible</x:v>
      </x:c>
      <x:c r="K95" t="str">
        <x:v>Exclusivo</x:v>
      </x:c>
      <x:c r="L95" t="str">
        <x:v>STOCKEADO + ANDREY BUSINESS</x:v>
      </x:c>
      <x:c r="M95" t="str">
        <x:v>catalogo_4</x:v>
      </x:c>
      <x:c r="N95" t="str"/>
      <x:c r="O95" s="24" t="n">
        <x:f>IF(OR(H95="",I95=""),"",I95-H95)</x:f>
        <x:v>15000</x:v>
      </x:c>
      <x:c r="P95" s="26" t="n">
        <x:f>IF(OR(H95="",I95="",H95=0),"",(I95-H95)/H95)</x:f>
        <x:v>0.6024096385542169</x:v>
      </x:c>
      <x:c r="Q95" t="str">
        <x:f>IF(B95&lt;&gt;"","Sí","No")</x:f>
        <x:v>Sí</x:v>
      </x:c>
    </x:row>
    <x:row r="96">
      <x:c r="A96" t="n">
        <x:v>95</x:v>
      </x:c>
      <x:c r="B96" t="str">
        <x:v>Plantilla En Gel Mujer</x:v>
      </x:c>
      <x:c r="C96" t="str">
        <x:v>Moda</x:v>
      </x:c>
      <x:c r="D96" t="str">
        <x:v>Bienestar</x:v>
      </x:c>
      <x:c r="E96" t="str">
        <x:v>Plantilla</x:v>
      </x:c>
      <x:c r="F96" t="n">
        <x:v>268</x:v>
      </x:c>
      <x:c r="G96" t="str">
        <x:v>Disponible</x:v>
      </x:c>
      <x:c r="H96" s="24" t="n">
        <x:v>13900</x:v>
      </x:c>
      <x:c r="I96" s="24" t="n">
        <x:v>33900</x:v>
      </x:c>
      <x:c r="J96" s="24" t="str">
        <x:v>No visible</x:v>
      </x:c>
      <x:c r="K96" t="str">
        <x:v>Exclusivo</x:v>
      </x:c>
      <x:c r="L96" t="str">
        <x:v>STOCKEADO + ANDREY BUSINESS</x:v>
      </x:c>
      <x:c r="M96" t="str">
        <x:v>catalogo_4</x:v>
      </x:c>
      <x:c r="N96" t="str"/>
      <x:c r="O96" s="24" t="n">
        <x:f>IF(OR(H96="",I96=""),"",I96-H96)</x:f>
        <x:v>20000</x:v>
      </x:c>
      <x:c r="P96" s="26" t="n">
        <x:f>IF(OR(H96="",I96="",H96=0),"",(I96-H96)/H96)</x:f>
        <x:v>1.4388489208633093</x:v>
      </x:c>
      <x:c r="Q96" t="str">
        <x:f>IF(B96&lt;&gt;"","Sí","No")</x:f>
        <x:v>Sí</x:v>
      </x:c>
    </x:row>
    <x:row r="97">
      <x:c r="A97" t="n">
        <x:v>96</x:v>
      </x:c>
      <x:c r="B97" t="str">
        <x:v>Pulsera De Roca De Lava 7 Chakras</x:v>
      </x:c>
      <x:c r="C97" t="str">
        <x:v>Bisutería</x:v>
      </x:c>
      <x:c r="D97" t="str">
        <x:v>Bisutería</x:v>
      </x:c>
      <x:c r="E97" t="str">
        <x:v>Pulsera</x:v>
      </x:c>
      <x:c r="F97" t="n">
        <x:v>32</x:v>
      </x:c>
      <x:c r="G97" t="str">
        <x:v>Disponible</x:v>
      </x:c>
      <x:c r="H97" s="24" t="n">
        <x:v>11900</x:v>
      </x:c>
      <x:c r="I97" s="24" t="n">
        <x:v>31900</x:v>
      </x:c>
      <x:c r="J97" s="24" t="str">
        <x:v>No visible</x:v>
      </x:c>
      <x:c r="K97" t="str">
        <x:v>Exclusivo</x:v>
      </x:c>
      <x:c r="L97" t="str">
        <x:v>STOCKEADO + ANDREY BUSINESS</x:v>
      </x:c>
      <x:c r="M97" t="str">
        <x:v>catalogo_4</x:v>
      </x:c>
      <x:c r="N97" t="str"/>
      <x:c r="O97" s="24" t="n">
        <x:f>IF(OR(H97="",I97=""),"",I97-H97)</x:f>
        <x:v>20000</x:v>
      </x:c>
      <x:c r="P97" s="26" t="n">
        <x:f>IF(OR(H97="",I97="",H97=0),"",(I97-H97)/H97)</x:f>
        <x:v>1.680672268907563</x:v>
      </x:c>
      <x:c r="Q97" t="str">
        <x:f>IF(B97&lt;&gt;"","Sí","No")</x:f>
        <x:v>Sí</x:v>
      </x:c>
    </x:row>
    <x:row r="98">
      <x:c r="A98" t="n">
        <x:v>97</x:v>
      </x:c>
      <x:c r="B98" t="str">
        <x:v>Masajeador Cervical Electrico Recargable</x:v>
      </x:c>
      <x:c r="C98" t="str">
        <x:v>Tecnología</x:v>
      </x:c>
      <x:c r="D98" t="str">
        <x:v>Bienestar</x:v>
      </x:c>
      <x:c r="E98" t="str">
        <x:v>Masajeador cervical</x:v>
      </x:c>
      <x:c r="F98" t="n">
        <x:v>4939</x:v>
      </x:c>
      <x:c r="G98" t="str">
        <x:v>Disponible</x:v>
      </x:c>
      <x:c r="H98" s="24" t="n">
        <x:v>12900</x:v>
      </x:c>
      <x:c r="I98" s="24" t="n">
        <x:v>42900</x:v>
      </x:c>
      <x:c r="J98" s="24" t="str">
        <x:v>No visible</x:v>
      </x:c>
      <x:c r="K98" t="str">
        <x:v>Exclusivo</x:v>
      </x:c>
      <x:c r="L98" t="str">
        <x:v>STOCKEADO + ANDREY BUSINESS</x:v>
      </x:c>
      <x:c r="M98" t="str">
        <x:v>catalogo_4</x:v>
      </x:c>
      <x:c r="N98" t="str"/>
      <x:c r="O98" s="24" t="n">
        <x:f>IF(OR(H98="",I98=""),"",I98-H98)</x:f>
        <x:v>30000</x:v>
      </x:c>
      <x:c r="P98" s="26" t="n">
        <x:f>IF(OR(H98="",I98="",H98=0),"",(I98-H98)/H98)</x:f>
        <x:v>2.3255813953488373</x:v>
      </x:c>
      <x:c r="Q98" t="str">
        <x:f>IF(B98&lt;&gt;"","Sí","No")</x:f>
        <x:v>Sí</x:v>
      </x:c>
    </x:row>
    <x:row r="99">
      <x:c r="A99" t="n">
        <x:v>98</x:v>
      </x:c>
      <x:c r="B99" t="str">
        <x:v>Body Sin Manga Con Escote Cuadrado</x:v>
      </x:c>
      <x:c r="C99" t="str">
        <x:v>Moda</x:v>
      </x:c>
      <x:c r="D99" t="str">
        <x:v>Moda</x:v>
      </x:c>
      <x:c r="E99" t="str">
        <x:v>Ropa</x:v>
      </x:c>
      <x:c r="F99" t="n">
        <x:v>1030</x:v>
      </x:c>
      <x:c r="G99" t="str">
        <x:v>Disponible</x:v>
      </x:c>
      <x:c r="H99" s="24" t="n">
        <x:v>25900</x:v>
      </x:c>
      <x:c r="I99" s="24" t="n">
        <x:v>89900</x:v>
      </x:c>
      <x:c r="J99" s="24" t="str">
        <x:v>Variable</x:v>
      </x:c>
      <x:c r="K99" t="str">
        <x:v>Exclusivo</x:v>
      </x:c>
      <x:c r="L99" t="str">
        <x:v>STOCKEADO + ANDREY BUSINESS</x:v>
      </x:c>
      <x:c r="M99" t="str">
        <x:v>catalogo_4</x:v>
      </x:c>
      <x:c r="N99" t="str"/>
      <x:c r="O99" s="24" t="n">
        <x:f>IF(OR(H99="",I99=""),"",I99-H99)</x:f>
        <x:v>64000</x:v>
      </x:c>
      <x:c r="P99" s="26" t="n">
        <x:f>IF(OR(H99="",I99="",H99=0),"",(I99-H99)/H99)</x:f>
        <x:v>2.471042471042471</x:v>
      </x:c>
      <x:c r="Q99" t="str">
        <x:f>IF(B99&lt;&gt;"","Sí","No")</x:f>
        <x:v>Sí</x:v>
      </x:c>
    </x:row>
    <x:row r="100">
      <x:c r="A100" t="n">
        <x:v>99</x:v>
      </x:c>
      <x:c r="B100" t="str">
        <x:v>Protesis Dental</x:v>
      </x:c>
      <x:c r="C100" t="str">
        <x:v>Salud</x:v>
      </x:c>
      <x:c r="D100" t="str">
        <x:v>Bienestar</x:v>
      </x:c>
      <x:c r="E100" t="str">
        <x:v>Dental</x:v>
      </x:c>
      <x:c r="F100" t="n">
        <x:v>816</x:v>
      </x:c>
      <x:c r="G100" t="str">
        <x:v>Disponible</x:v>
      </x:c>
      <x:c r="H100" s="24" t="n">
        <x:v>12900</x:v>
      </x:c>
      <x:c r="I100" s="24" t="n">
        <x:v>29900</x:v>
      </x:c>
      <x:c r="J100" s="24" t="str">
        <x:v>No visible</x:v>
      </x:c>
      <x:c r="K100" t="str">
        <x:v>Exclusivo</x:v>
      </x:c>
      <x:c r="L100" t="str">
        <x:v>STOCKEADO + ANDREY BUSINESS</x:v>
      </x:c>
      <x:c r="M100" t="str">
        <x:v>catalogo_4</x:v>
      </x:c>
      <x:c r="N100" t="str"/>
      <x:c r="O100" s="24" t="n">
        <x:f>IF(OR(H100="",I100=""),"",I100-H100)</x:f>
        <x:v>17000</x:v>
      </x:c>
      <x:c r="P100" s="26" t="n">
        <x:f>IF(OR(H100="",I100="",H100=0),"",(I100-H100)/H100)</x:f>
        <x:v>1.317829457364341</x:v>
      </x:c>
      <x:c r="Q100" t="str">
        <x:f>IF(B100&lt;&gt;"","Sí","No")</x:f>
        <x:v>Sí</x:v>
      </x:c>
    </x:row>
    <x:row r="101">
      <x:c r="A101" t="n">
        <x:v>100</x:v>
      </x:c>
      <x:c r="B101" t="str">
        <x:v>Banda Antifebre</x:v>
      </x:c>
      <x:c r="C101" t="str">
        <x:v>Salud</x:v>
      </x:c>
      <x:c r="D101" t="str">
        <x:v>Bienestar</x:v>
      </x:c>
      <x:c r="E101" t="str">
        <x:v>Cuidado infantil</x:v>
      </x:c>
      <x:c r="F101" t="n">
        <x:v>826</x:v>
      </x:c>
      <x:c r="G101" t="str">
        <x:v>Disponible</x:v>
      </x:c>
      <x:c r="H101" s="24" t="n">
        <x:v>9900</x:v>
      </x:c>
      <x:c r="I101" s="24" t="n">
        <x:v>39900</x:v>
      </x:c>
      <x:c r="J101" s="24" t="str">
        <x:v>No visible</x:v>
      </x:c>
      <x:c r="K101" t="str">
        <x:v>Exclusivo</x:v>
      </x:c>
      <x:c r="L101" t="str">
        <x:v>STOCKEADO + ANDREY BUSINESS</x:v>
      </x:c>
      <x:c r="M101" t="str">
        <x:v>catalogo_4</x:v>
      </x:c>
      <x:c r="N101" t="str"/>
      <x:c r="O101" s="24" t="n">
        <x:f>IF(OR(H101="",I101=""),"",I101-H101)</x:f>
        <x:v>30000</x:v>
      </x:c>
      <x:c r="P101" s="26" t="n">
        <x:f>IF(OR(H101="",I101="",H101=0),"",(I101-H101)/H101)</x:f>
        <x:v>3.0303030303030303</x:v>
      </x:c>
      <x:c r="Q101" t="str">
        <x:f>IF(B101&lt;&gt;"","Sí","No")</x:f>
        <x:v>Sí</x:v>
      </x:c>
    </x:row>
    <x:row r="102">
      <x:c r="A102" t="n">
        <x:v>101</x:v>
      </x:c>
      <x:c r="B102" t="str">
        <x:v>Blanqueador Dental Avanzado</x:v>
      </x:c>
      <x:c r="C102" t="str">
        <x:v>Belleza</x:v>
      </x:c>
      <x:c r="D102" t="str">
        <x:v>Belleza</x:v>
      </x:c>
      <x:c r="E102" t="str">
        <x:v>Dental</x:v>
      </x:c>
      <x:c r="F102" t="n">
        <x:v>70</x:v>
      </x:c>
      <x:c r="G102" t="str">
        <x:v>Disponible</x:v>
      </x:c>
      <x:c r="H102" s="24" t="n">
        <x:v>12900</x:v>
      </x:c>
      <x:c r="I102" s="24" t="n">
        <x:v>29900</x:v>
      </x:c>
      <x:c r="J102" s="24" t="str">
        <x:v>No visible</x:v>
      </x:c>
      <x:c r="K102" t="str">
        <x:v>Exclusivo</x:v>
      </x:c>
      <x:c r="L102" t="str">
        <x:v>STOCKEADO + ANDREY BUSINESS</x:v>
      </x:c>
      <x:c r="M102" t="str">
        <x:v>catalogo_4</x:v>
      </x:c>
      <x:c r="N102" t="str"/>
      <x:c r="O102" s="24" t="n">
        <x:f>IF(OR(H102="",I102=""),"",I102-H102)</x:f>
        <x:v>17000</x:v>
      </x:c>
      <x:c r="P102" s="26" t="n">
        <x:f>IF(OR(H102="",I102="",H102=0),"",(I102-H102)/H102)</x:f>
        <x:v>1.317829457364341</x:v>
      </x:c>
      <x:c r="Q102" t="str">
        <x:f>IF(B102&lt;&gt;"","Sí","No")</x:f>
        <x:v>Sí</x:v>
      </x:c>
    </x:row>
    <x:row r="103">
      <x:c r="A103" t="n">
        <x:v>102</x:v>
      </x:c>
      <x:c r="B103" t="str">
        <x:v>Camisa Del Salvador</x:v>
      </x:c>
      <x:c r="C103" t="str">
        <x:v>Moda</x:v>
      </x:c>
      <x:c r="D103" t="str">
        <x:v>Moda</x:v>
      </x:c>
      <x:c r="E103" t="str">
        <x:v>Ropa</x:v>
      </x:c>
      <x:c r="F103" t="n">
        <x:v>1</x:v>
      </x:c>
      <x:c r="G103" t="str">
        <x:v>Disponible</x:v>
      </x:c>
      <x:c r="H103" s="24" t="n">
        <x:v>35900</x:v>
      </x:c>
      <x:c r="I103" s="24" t="n">
        <x:v>52900</x:v>
      </x:c>
      <x:c r="J103" s="24" t="str">
        <x:v>Variable</x:v>
      </x:c>
      <x:c r="K103" t="str">
        <x:v>Exclusivo</x:v>
      </x:c>
      <x:c r="L103" t="str">
        <x:v>STOCKEADO + ANDREY BUSINESS</x:v>
      </x:c>
      <x:c r="M103" t="str">
        <x:v>catalogo_4</x:v>
      </x:c>
      <x:c r="N103" t="str"/>
      <x:c r="O103" s="24" t="n">
        <x:f>IF(OR(H103="",I103=""),"",I103-H103)</x:f>
        <x:v>17000</x:v>
      </x:c>
      <x:c r="P103" s="26" t="n">
        <x:f>IF(OR(H103="",I103="",H103=0),"",(I103-H103)/H103)</x:f>
        <x:v>0.4735376044568245</x:v>
      </x:c>
      <x:c r="Q103" t="str">
        <x:f>IF(B103&lt;&gt;"","Sí","No")</x:f>
        <x:v>Sí</x:v>
      </x:c>
    </x:row>
    <x:row r="104">
      <x:c r="A104" t="n">
        <x:v>103</x:v>
      </x:c>
      <x:c r="B104" t="str">
        <x:v>Limpiador De Oidos</x:v>
      </x:c>
      <x:c r="C104" t="str">
        <x:v>Belleza</x:v>
      </x:c>
      <x:c r="D104" t="str">
        <x:v>Belleza</x:v>
      </x:c>
      <x:c r="E104" t="str">
        <x:v>Oídos</x:v>
      </x:c>
      <x:c r="F104" t="n">
        <x:v>369</x:v>
      </x:c>
      <x:c r="G104" t="str">
        <x:v>Disponible</x:v>
      </x:c>
      <x:c r="H104" s="24" t="n">
        <x:v>12900</x:v>
      </x:c>
      <x:c r="I104" s="24" t="n">
        <x:v>42900</x:v>
      </x:c>
      <x:c r="J104" s="24" t="str">
        <x:v>No visible</x:v>
      </x:c>
      <x:c r="K104" t="str">
        <x:v>Exclusivo</x:v>
      </x:c>
      <x:c r="L104" t="str">
        <x:v>STOCKEADO + ANDREY BUSINESS</x:v>
      </x:c>
      <x:c r="M104" t="str">
        <x:v>catalogo_4</x:v>
      </x:c>
      <x:c r="N104" t="str"/>
      <x:c r="O104" s="24" t="n">
        <x:f>IF(OR(H104="",I104=""),"",I104-H104)</x:f>
        <x:v>30000</x:v>
      </x:c>
      <x:c r="P104" s="26" t="n">
        <x:f>IF(OR(H104="",I104="",H104=0),"",(I104-H104)/H104)</x:f>
        <x:v>2.3255813953488373</x:v>
      </x:c>
      <x:c r="Q104" t="str">
        <x:f>IF(B104&lt;&gt;"","Sí","No")</x:f>
        <x:v>Sí</x:v>
      </x:c>
    </x:row>
    <x:row r="105">
      <x:c r="A105" t="n">
        <x:v>104</x:v>
      </x:c>
      <x:c r="B105" t="str">
        <x:v>Flotador Bebe</x:v>
      </x:c>
      <x:c r="C105" t="str">
        <x:v>Bebé</x:v>
      </x:c>
      <x:c r="D105" t="str">
        <x:v>Bebé</x:v>
      </x:c>
      <x:c r="E105" t="str">
        <x:v>Flotador</x:v>
      </x:c>
      <x:c r="F105" t="n">
        <x:v>22</x:v>
      </x:c>
      <x:c r="G105" t="str">
        <x:v>Disponible</x:v>
      </x:c>
      <x:c r="H105" s="24" t="n">
        <x:v>22900</x:v>
      </x:c>
      <x:c r="I105" s="24"/>
      <x:c r="J105" s="24" t="str">
        <x:v>Variable</x:v>
      </x:c>
      <x:c r="K105" t="str">
        <x:v>Exclusivo</x:v>
      </x:c>
      <x:c r="L105" t="str">
        <x:v>STOCKEADO + ANDREY BUSINESS</x:v>
      </x:c>
      <x:c r="M105" t="str">
        <x:v>catalogo_4</x:v>
      </x:c>
      <x:c r="N105" t="str"/>
      <x:c r="O105" s="24" t="str">
        <x:f>IF(OR(H105="",I105=""),"",I105-H105)</x:f>
      </x:c>
      <x:c r="P105" s="26" t="str">
        <x:f>IF(OR(H105="",I105="",H105=0),"",(I105-H105)/H105)</x:f>
      </x:c>
      <x:c r="Q105" t="str">
        <x:f>IF(B105&lt;&gt;"","Sí","No")</x:f>
        <x:v>Sí</x:v>
      </x:c>
    </x:row>
    <x:row r="106">
      <x:c r="A106" t="n">
        <x:v>105</x:v>
      </x:c>
      <x:c r="B106" t="str">
        <x:v>Zapatos Vittoria</x:v>
      </x:c>
      <x:c r="C106" t="str">
        <x:v>Moda</x:v>
      </x:c>
      <x:c r="D106" t="str">
        <x:v>Moda</x:v>
      </x:c>
      <x:c r="E106" t="str">
        <x:v>Calzado</x:v>
      </x:c>
      <x:c r="F106" t="n">
        <x:v>110</x:v>
      </x:c>
      <x:c r="G106" t="str">
        <x:v>Disponible</x:v>
      </x:c>
      <x:c r="H106" s="24" t="n">
        <x:v>65900</x:v>
      </x:c>
      <x:c r="I106" s="24"/>
      <x:c r="J106" s="24" t="str">
        <x:v>Variable</x:v>
      </x:c>
      <x:c r="K106" t="str">
        <x:v>Exclusivo</x:v>
      </x:c>
      <x:c r="L106" t="str">
        <x:v>STOCKEADO + ANDREY BUSINESS</x:v>
      </x:c>
      <x:c r="M106" t="str">
        <x:v>catalogo_4</x:v>
      </x:c>
      <x:c r="N106" t="str"/>
      <x:c r="O106" s="24" t="str">
        <x:f>IF(OR(H106="",I106=""),"",I106-H106)</x:f>
      </x:c>
      <x:c r="P106" s="26" t="str">
        <x:f>IF(OR(H106="",I106="",H106=0),"",(I106-H106)/H106)</x:f>
      </x:c>
      <x:c r="Q106" t="str">
        <x:f>IF(B106&lt;&gt;"","Sí","No")</x:f>
        <x:v>Sí</x:v>
      </x:c>
    </x:row>
    <x:row r="107">
      <x:c r="A107" t="n">
        <x:v>106</x:v>
      </x:c>
      <x:c r="B107" t="str">
        <x:v>Led Tactil Inalambrica Para Coche</x:v>
      </x:c>
      <x:c r="C107" t="str">
        <x:v>Tecnología</x:v>
      </x:c>
      <x:c r="D107" t="str">
        <x:v>Vehículos</x:v>
      </x:c>
      <x:c r="E107" t="str">
        <x:v>Luz vehículo</x:v>
      </x:c>
      <x:c r="F107" t="n">
        <x:v>546</x:v>
      </x:c>
      <x:c r="G107" t="str">
        <x:v>Disponible</x:v>
      </x:c>
      <x:c r="H107" s="24" t="n">
        <x:v>11900</x:v>
      </x:c>
      <x:c r="I107" s="24" t="n">
        <x:v>31900</x:v>
      </x:c>
      <x:c r="J107" s="24" t="str">
        <x:v>No visible</x:v>
      </x:c>
      <x:c r="K107" t="str">
        <x:v>Exclusivo</x:v>
      </x:c>
      <x:c r="L107" t="str">
        <x:v>STOCKEADO + ANDREY BUSINESS</x:v>
      </x:c>
      <x:c r="M107" t="str">
        <x:v>catalogo_4</x:v>
      </x:c>
      <x:c r="N107" t="str"/>
      <x:c r="O107" s="24" t="n">
        <x:f>IF(OR(H107="",I107=""),"",I107-H107)</x:f>
        <x:v>20000</x:v>
      </x:c>
      <x:c r="P107" s="26" t="n">
        <x:f>IF(OR(H107="",I107="",H107=0),"",(I107-H107)/H107)</x:f>
        <x:v>1.680672268907563</x:v>
      </x:c>
      <x:c r="Q107" t="str">
        <x:f>IF(B107&lt;&gt;"","Sí","No")</x:f>
        <x:v>Sí</x:v>
      </x:c>
    </x:row>
    <x:row r="108">
      <x:c r="A108" t="n">
        <x:v>107</x:v>
      </x:c>
      <x:c r="B108" t="str">
        <x:v>Soporte Mag</x:v>
      </x:c>
      <x:c r="C108" t="str">
        <x:v>Hogar</x:v>
      </x:c>
      <x:c r="D108" t="str">
        <x:v>Hogar</x:v>
      </x:c>
      <x:c r="E108" t="str">
        <x:v>Soporte</x:v>
      </x:c>
      <x:c r="F108"/>
      <x:c r="G108" t="str">
        <x:v>Visible sin stock capturado</x:v>
      </x:c>
      <x:c r="H108" s="24" t="n">
        <x:v>45900</x:v>
      </x:c>
      <x:c r="I108" s="24" t="n">
        <x:v>65900</x:v>
      </x:c>
      <x:c r="J108" s="24" t="str">
        <x:v>No visible</x:v>
      </x:c>
      <x:c r="K108" t="str">
        <x:v>Exclusivo</x:v>
      </x:c>
      <x:c r="L108" t="str">
        <x:v>STOCKEADO + ANDREY BUSINESS</x:v>
      </x:c>
      <x:c r="M108" t="str">
        <x:v>catalogo_4</x:v>
      </x:c>
      <x:c r="N108" t="str">
        <x:v>Stock no legible</x:v>
      </x:c>
      <x:c r="O108" s="24" t="n">
        <x:f>IF(OR(H108="",I108=""),"",I108-H108)</x:f>
        <x:v>20000</x:v>
      </x:c>
      <x:c r="P108" s="26" t="n">
        <x:f>IF(OR(H108="",I108="",H108=0),"",(I108-H108)/H108)</x:f>
        <x:v>0.4357298474945534</x:v>
      </x:c>
      <x:c r="Q108" t="str">
        <x:f>IF(B108&lt;&gt;"","Sí","No")</x:f>
        <x:v>Sí</x:v>
      </x:c>
    </x:row>
  </x:sheetData>
  <x:pageMargins left="0.7" right="0.7" top="0.75" bottom="0.75" header="0.3" footer="0.3"/>
  <x:tableParts count="1">
    <x:tablePart xmlns:r="http://schemas.openxmlformats.org/officeDocument/2006/relationships" r:id="Re55806d150924e9a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4.579999923706055" hidden="0" customWidth="1"/>
    <x:col min="2" max="2" width="12.25" hidden="0" customWidth="1"/>
    <x:col min="3" max="3" width="28" hidden="0" customWidth="1"/>
    <x:col min="4" max="4" width="22.479999542236328" hidden="0" customWidth="1"/>
    <x:col min="5" max="5" width="33.380001068115234" hidden="0" customWidth="1"/>
    <x:col min="6" max="6" width="14.399999618530273" hidden="0" customWidth="1"/>
    <x:col min="7" max="7" width="14.130000114440918" hidden="0" customWidth="1"/>
    <x:col min="8" max="8" width="16.690000534057617" hidden="0" customWidth="1"/>
    <x:col min="9" max="9" width="15.210000038146973" hidden="0" customWidth="1"/>
    <x:col min="10" max="10" width="13.460000038146973" hidden="0" customWidth="1"/>
    <x:col min="11" max="11" width="13.729999542236328" hidden="0" customWidth="1"/>
    <x:col min="12" max="12" width="13.859999656677246" hidden="0" customWidth="1"/>
    <x:col min="13" max="13" width="10.630000114440918" hidden="0" customWidth="1"/>
    <x:col min="14" max="14" width="24.6299991607666" hidden="0" customWidth="1"/>
    <x:col min="15" max="15" width="16" hidden="0" customWidth="1"/>
    <x:col min="16" max="16" width="18" hidden="0" customWidth="1"/>
    <x:col min="17" max="17" width="28" hidden="0" customWidth="1"/>
    <x:col min="18" max="18" width="28.1299991607666" hidden="0" customWidth="1"/>
    <x:col min="19" max="19" width="19.110000610351562" hidden="0" customWidth="1"/>
    <x:col min="20" max="20" width="28.1299991607666" hidden="0" customWidth="1"/>
    <x:col min="21" max="21" width="20.860000610351562" hidden="0" customWidth="1"/>
    <x:col min="22" max="22" width="25.979999542236328" hidden="0" customWidth="1"/>
    <x:col min="23" max="23" width="21.940000534057617" hidden="0" customWidth="1"/>
    <x:col min="24" max="24" width="24" hidden="0" customWidth="1"/>
    <x:col min="25" max="25" width="55" hidden="0" customWidth="1"/>
  </x:cols>
  <x:sheetData>
    <x:row r="1">
      <x:c r="A1" s="37" t="str">
        <x:v>N°</x:v>
      </x:c>
      <x:c r="B1" s="37" t="str">
        <x:v>ID producto</x:v>
      </x:c>
      <x:c r="C1" s="37" t="str">
        <x:v>Producto</x:v>
      </x:c>
      <x:c r="D1" s="37" t="str">
        <x:v>SKU</x:v>
      </x:c>
      <x:c r="E1" s="37" t="str">
        <x:v>Categoría visible</x:v>
      </x:c>
      <x:c r="F1" s="37" t="str">
        <x:v>Categoría final</x:v>
      </x:c>
      <x:c r="G1" s="37" t="str">
        <x:v>Tipo producto</x:v>
      </x:c>
      <x:c r="H1" s="37" t="str">
        <x:v>Precio proveedor</x:v>
      </x:c>
      <x:c r="I1" s="37" t="str">
        <x:v>Precio sugerido</x:v>
      </x:c>
      <x:c r="J1" s="37" t="str">
        <x:v>Stock público</x:v>
      </x:c>
      <x:c r="K1" s="37" t="str">
        <x:v>Stock privado</x:v>
      </x:c>
      <x:c r="L1" s="37" t="str">
        <x:v>Disponible en</x:v>
      </x:c>
      <x:c r="M1" s="37" t="str">
        <x:v>Bodega</x:v>
      </x:c>
      <x:c r="N1" s="37" t="str">
        <x:v>Cantidad imágenes visibles</x:v>
      </x:c>
      <x:c r="O1" s="37" t="str">
        <x:v>Tiene descripción</x:v>
      </x:c>
      <x:c r="P1" s="37" t="str">
        <x:v>Descripción excede screenshot</x:v>
      </x:c>
      <x:c r="Q1" s="37" t="str">
        <x:v>Tipo descripción</x:v>
      </x:c>
      <x:c r="R1" s="37" t="str">
        <x:v>Beneficios visibles</x:v>
      </x:c>
      <x:c r="S1" s="37" t="str">
        <x:v>Modo de uso visible</x:v>
      </x:c>
      <x:c r="T1" s="37" t="str">
        <x:v>Especificaciones visibles</x:v>
      </x:c>
      <x:c r="U1" s="37" t="str">
        <x:v>Garantías visibles</x:v>
      </x:c>
      <x:c r="V1" s="37" t="str">
        <x:v>Recursos adicionales visibles</x:v>
      </x:c>
      <x:c r="W1" s="37" t="str">
        <x:v>Texto genérico repetido</x:v>
      </x:c>
      <x:c r="X1" s="37" t="str">
        <x:v>Pantallazo fuente</x:v>
      </x:c>
      <x:c r="Y1" s="37" t="str">
        <x:v>Observación cruda</x:v>
      </x:c>
      <x:c r="Z1" s="20"/>
    </x:row>
    <x:row r="2">
      <x:c r="A2" s="31" t="n">
        <x:v>1</x:v>
      </x:c>
      <x:c r="B2" s="31" t="str">
        <x:v>1589262</x:v>
      </x:c>
      <x:c r="C2" s="31" t="str">
        <x:v>Juguete Tablero Educativo</x:v>
      </x:c>
      <x:c r="D2" s="31" t="str">
        <x:v>JUGUETETABLEREDUCATIVO</x:v>
      </x:c>
      <x:c r="E2" s="31" t="str">
        <x:v>Otro; Juguetería</x:v>
      </x:c>
      <x:c r="F2" s="31" t="str">
        <x:v>Juguetería</x:v>
      </x:c>
      <x:c r="G2" s="31" t="str">
        <x:v>Simple</x:v>
      </x:c>
      <x:c r="H2" s="32" t="n">
        <x:v>37900</x:v>
      </x:c>
      <x:c r="I2" s="32" t="n">
        <x:v>57900</x:v>
      </x:c>
      <x:c r="J2" s="32" t="n">
        <x:v>84</x:v>
      </x:c>
      <x:c r="K2" s="32" t="n">
        <x:v>0</x:v>
      </x:c>
      <x:c r="L2" s="31" t="str">
        <x:v>Yumbo</x:v>
      </x:c>
      <x:c r="M2" s="31" t="str">
        <x:v>CALI, YUMBO</x:v>
      </x:c>
      <x:c r="N2" s="31" t="n">
        <x:v>5</x:v>
      </x:c>
      <x:c r="O2" s="31" t="str">
        <x:v>Sí</x:v>
      </x:c>
      <x:c r="P2" s="31" t="str">
        <x:v>Sí</x:v>
      </x:c>
      <x:c r="Q2" s="31" t="str">
        <x:v>Mixta: texto proveedor/comunidad + descripción específica producto</x:v>
      </x:c>
      <x:c r="R2" s="31" t="str">
        <x:v>Sí</x:v>
      </x:c>
      <x:c r="S2" s="31" t="str">
        <x:v>No visible</x:v>
      </x:c>
      <x:c r="T2" s="31" t="str">
        <x:v>Sí</x:v>
      </x:c>
      <x:c r="U2" s="31" t="str">
        <x:v>Pestaña visible, no abierta</x:v>
      </x:c>
      <x:c r="V2" s="31" t="str">
        <x:v>Pestaña visible, no abierta</x:v>
      </x:c>
      <x:c r="W2" s="31" t="str">
        <x:v>Sí</x:v>
      </x:c>
      <x:c r="X2" s="31" t="str">
        <x:v>Captura 2026-05-28 5.03.40 p.m.</x:v>
      </x:c>
      <x:c r="Y2" s="31" t="str">
        <x:v>Incluye texto de servicio al cliente y enlace WhatsApp; descripción específica del tablero educativo con beneficios y funcionamiento.</x:v>
      </x:c>
    </x:row>
    <x:row r="3">
      <x:c r="A3" s="33" t="n">
        <x:v>2</x:v>
      </x:c>
      <x:c r="B3" s="33" t="str">
        <x:v>997208</x:v>
      </x:c>
      <x:c r="C3" s="33" t="str">
        <x:v>Lampara Solar De Pared Con Mando</x:v>
      </x:c>
      <x:c r="D3" s="33" t="str">
        <x:v>LAMPARASOLAR</x:v>
      </x:c>
      <x:c r="E3" s="33" t="str">
        <x:v>Hogar; Natural Home; Otro</x:v>
      </x:c>
      <x:c r="F3" s="33" t="str">
        <x:v>Hogar</x:v>
      </x:c>
      <x:c r="G3" s="33" t="str">
        <x:v>Simple</x:v>
      </x:c>
      <x:c r="H3" s="34" t="n">
        <x:v>29900</x:v>
      </x:c>
      <x:c r="I3" s="34" t="n">
        <x:v>59900</x:v>
      </x:c>
      <x:c r="J3" s="34" t="n">
        <x:v>57</x:v>
      </x:c>
      <x:c r="K3" s="34" t="n">
        <x:v>0</x:v>
      </x:c>
      <x:c r="L3" s="33" t="str">
        <x:v>Yumbo</x:v>
      </x:c>
      <x:c r="M3" s="33" t="str">
        <x:v>CALI, YUMBO</x:v>
      </x:c>
      <x:c r="N3" s="33" t="n">
        <x:v>4</x:v>
      </x:c>
      <x:c r="O3" s="33" t="str">
        <x:v>Sí</x:v>
      </x:c>
      <x:c r="P3" s="33" t="str">
        <x:v>Sí</x:v>
      </x:c>
      <x:c r="Q3" s="33" t="str">
        <x:v>Mixta: texto proveedor/comunidad + descripción específica producto</x:v>
      </x:c>
      <x:c r="R3" s="33" t="str">
        <x:v>Sí</x:v>
      </x:c>
      <x:c r="S3" s="33" t="str">
        <x:v>No visible</x:v>
      </x:c>
      <x:c r="T3" s="33" t="str">
        <x:v>Sí</x:v>
      </x:c>
      <x:c r="U3" s="33" t="str">
        <x:v>Pestaña visible, no abierta</x:v>
      </x:c>
      <x:c r="V3" s="33" t="str">
        <x:v>Pestaña visible, no abierta</x:v>
      </x:c>
      <x:c r="W3" s="33" t="str">
        <x:v>Sí</x:v>
      </x:c>
      <x:c r="X3" s="33" t="str">
        <x:v>Captura 2026-05-28 5.03.34 p.m.</x:v>
      </x:c>
      <x:c r="Y3" s="33" t="str">
        <x:v>Incluye descripción, beneficios y especificaciones visibles sobre energía solar, control remoto y sensor de movimiento.</x:v>
      </x:c>
    </x:row>
    <x:row r="4">
      <x:c r="A4" s="31" t="n">
        <x:v>3</x:v>
      </x:c>
      <x:c r="B4" s="31" t="str">
        <x:v>37111</x:v>
      </x:c>
      <x:c r="C4" s="31" t="str">
        <x:v>Limpiador Magnetico De Vidrios Y Ventana</x:v>
      </x:c>
      <x:c r="D4" s="31" t="str">
        <x:v>LIMPIACRISTALES</x:v>
      </x:c>
      <x:c r="E4" s="31" t="str">
        <x:v>Hogar; Natural Home; Otro; Herramientas</x:v>
      </x:c>
      <x:c r="F4" s="31" t="str">
        <x:v>Hogar</x:v>
      </x:c>
      <x:c r="G4" s="31" t="str">
        <x:v>Simple</x:v>
      </x:c>
      <x:c r="H4" s="32" t="n">
        <x:v>19900</x:v>
      </x:c>
      <x:c r="I4" s="32" t="n">
        <x:v>49900</x:v>
      </x:c>
      <x:c r="J4" s="32" t="n">
        <x:v>1538</x:v>
      </x:c>
      <x:c r="K4" s="32" t="n">
        <x:v>0</x:v>
      </x:c>
      <x:c r="L4" s="31" t="str">
        <x:v>Yumbo</x:v>
      </x:c>
      <x:c r="M4" s="31" t="str">
        <x:v>CALI, YUMBO</x:v>
      </x:c>
      <x:c r="N4" s="31" t="n">
        <x:v>5</x:v>
      </x:c>
      <x:c r="O4" s="31" t="str">
        <x:v>Sí</x:v>
      </x:c>
      <x:c r="P4" s="31" t="str">
        <x:v>Sí</x:v>
      </x:c>
      <x:c r="Q4" s="31" t="str">
        <x:v>Mixta: texto proveedor/comunidad + descripción específica producto</x:v>
      </x:c>
      <x:c r="R4" s="31" t="str">
        <x:v>Sí</x:v>
      </x:c>
      <x:c r="S4" s="31" t="str">
        <x:v>Sí</x:v>
      </x:c>
      <x:c r="T4" s="31" t="str">
        <x:v>Sí</x:v>
      </x:c>
      <x:c r="U4" s="31" t="str">
        <x:v>Pestaña visible, no abierta</x:v>
      </x:c>
      <x:c r="V4" s="31" t="str">
        <x:v>Pestaña visible, no abierta</x:v>
      </x:c>
      <x:c r="W4" s="31" t="str">
        <x:v>Sí</x:v>
      </x:c>
      <x:c r="X4" s="31" t="str">
        <x:v>Captura 2026-05-28 5.03.18 p.m.</x:v>
      </x:c>
      <x:c r="Y4" s="31" t="str">
        <x:v>Incluye descripción, beneficios, material y modo de uso por pasos; contiene texto de servicio al cliente al inicio.</x:v>
      </x:c>
    </x:row>
    <x:row r="5">
      <x:c r="A5" s="33" t="n">
        <x:v>4</x:v>
      </x:c>
      <x:c r="B5" s="33" t="str">
        <x:v>No visible</x:v>
      </x:c>
      <x:c r="C5" s="33" t="str">
        <x:v>Pendientes De Hojas</x:v>
      </x:c>
      <x:c r="D5" s="33" t="str">
        <x:v>01PENDIENTES</x:v>
      </x:c>
      <x:c r="E5" s="33" t="str">
        <x:v>Bisutería; Otro</x:v>
      </x:c>
      <x:c r="F5" s="33" t="str">
        <x:v>Bisutería</x:v>
      </x:c>
      <x:c r="G5" s="33" t="str">
        <x:v>Variable</x:v>
      </x:c>
      <x:c r="H5" s="34" t="n">
        <x:v>7900</x:v>
      </x:c>
      <x:c r="I5" s="34" t="n">
        <x:v>29900</x:v>
      </x:c>
      <x:c r="J5" s="34" t="n">
        <x:v>114</x:v>
      </x:c>
      <x:c r="K5" s="34" t="n">
        <x:v>0</x:v>
      </x:c>
      <x:c r="L5" s="33" t="str">
        <x:v>Yumbo</x:v>
      </x:c>
      <x:c r="M5" s="33" t="str">
        <x:v>CALI, YUMBO</x:v>
      </x:c>
      <x:c r="N5" s="33" t="n">
        <x:v>5</x:v>
      </x:c>
      <x:c r="O5" s="33" t="str">
        <x:v>Sí</x:v>
      </x:c>
      <x:c r="P5" s="33" t="str">
        <x:v>No</x:v>
      </x:c>
      <x:c r="Q5" s="33" t="str">
        <x:v>Descripción mal renderizada / JSON visible</x:v>
      </x:c>
      <x:c r="R5" s="33" t="str">
        <x:v>Sí, dentro de texto mal renderizado</x:v>
      </x:c>
      <x:c r="S5" s="33" t="str">
        <x:v>No visible</x:v>
      </x:c>
      <x:c r="T5" s="33" t="str">
        <x:v>Sí, dentro de texto mal renderizado</x:v>
      </x:c>
      <x:c r="U5" s="33" t="str">
        <x:v>Pestaña visible, no abierta</x:v>
      </x:c>
      <x:c r="V5" s="33" t="str">
        <x:v>Pestaña visible, no abierta</x:v>
      </x:c>
      <x:c r="W5" s="33" t="str">
        <x:v>No</x:v>
      </x:c>
      <x:c r="X5" s="33" t="str">
        <x:v>Captura 2026-05-28 5.03.10 p.m.</x:v>
      </x:c>
      <x:c r="Y5" s="33" t="str">
        <x:v>Producto variable con variantes Color Plateado y Color Dorado; descripción se visualiza como JSON/texto sin renderizar.</x:v>
      </x:c>
    </x:row>
    <x:row r="6">
      <x:c r="A6" s="29" t="n">
        <x:v>5</x:v>
      </x:c>
      <x:c r="B6" s="29" t="str">
        <x:v>92051</x:v>
      </x:c>
      <x:c r="C6" s="29" t="str">
        <x:v>Cerca practica</x:v>
      </x:c>
      <x:c r="D6" s="29" t="str">
        <x:v>01PRACTICA</x:v>
      </x:c>
      <x:c r="E6" s="29" t="str">
        <x:v>Otro</x:v>
      </x:c>
      <x:c r="F6" s="29" t="str">
        <x:v>Hogar</x:v>
      </x:c>
      <x:c r="G6" s="29" t="str">
        <x:v>Simple</x:v>
      </x:c>
      <x:c r="H6" s="30" t="n">
        <x:v>27900</x:v>
      </x:c>
      <x:c r="I6" s="30" t="n">
        <x:v>39900</x:v>
      </x:c>
      <x:c r="J6" s="30" t="n">
        <x:v>8</x:v>
      </x:c>
      <x:c r="K6" s="30" t="n">
        <x:v>0</x:v>
      </x:c>
      <x:c r="L6" s="29" t="str">
        <x:v>Yumbo</x:v>
      </x:c>
      <x:c r="M6" s="29" t="str">
        <x:v>CALI, YUMBO</x:v>
      </x:c>
      <x:c r="N6" s="29" t="n">
        <x:v>4</x:v>
      </x:c>
      <x:c r="O6" s="29" t="str">
        <x:v>Sí</x:v>
      </x:c>
      <x:c r="P6" s="29" t="str">
        <x:v>Sí</x:v>
      </x:c>
      <x:c r="Q6" s="29" t="str">
        <x:v>Mixta: texto proveedor/comunidad + descripción específica producto</x:v>
      </x:c>
      <x:c r="R6" s="29" t="str">
        <x:v>Sí</x:v>
      </x:c>
      <x:c r="S6" s="29" t="str">
        <x:v>No visible</x:v>
      </x:c>
      <x:c r="T6" s="29" t="str">
        <x:v>Sí</x:v>
      </x:c>
      <x:c r="U6" s="29" t="str">
        <x:v>Pestaña visible, no abierta</x:v>
      </x:c>
      <x:c r="V6" s="29" t="str">
        <x:v>Pestaña visible, no abierta</x:v>
      </x:c>
      <x:c r="W6" s="29" t="str">
        <x:v>Sí</x:v>
      </x:c>
      <x:c r="X6" s="29" t="str">
        <x:v>Captura 2026-05-28 5.03.47 p.m.</x:v>
      </x:c>
      <x:c r="Y6" s="29" t="str">
        <x:v>Descripción específica de cerca decorativa para jardín; incluye beneficios, características visibles y texto de servicio al cliente/comunidad al inicio.</x:v>
      </x:c>
    </x:row>
    <x:row r="7">
      <x:c r="A7" s="29" t="n">
        <x:v>6</x:v>
      </x:c>
      <x:c r="B7" s="29" t="str">
        <x:v>1762090</x:v>
      </x:c>
      <x:c r="C7" s="29" t="str">
        <x:v>Taladro Percutor Inalambrico</x:v>
      </x:c>
      <x:c r="D7" s="29" t="str">
        <x:v>TALADROINALAMBRICO</x:v>
      </x:c>
      <x:c r="E7" s="29" t="str">
        <x:v>Otro; Herramientas</x:v>
      </x:c>
      <x:c r="F7" s="29" t="str">
        <x:v>Herramientas</x:v>
      </x:c>
      <x:c r="G7" s="29" t="str">
        <x:v>Simple</x:v>
      </x:c>
      <x:c r="H7" s="30" t="n">
        <x:v>106900</x:v>
      </x:c>
      <x:c r="I7" s="30" t="n">
        <x:v>136900</x:v>
      </x:c>
      <x:c r="J7" s="30" t="n">
        <x:v>1767</x:v>
      </x:c>
      <x:c r="K7" s="30" t="n">
        <x:v>0</x:v>
      </x:c>
      <x:c r="L7" s="29" t="str">
        <x:v>Yumbo</x:v>
      </x:c>
      <x:c r="M7" s="29" t="str">
        <x:v>CALI, YUMBO</x:v>
      </x:c>
      <x:c r="N7" s="29" t="n">
        <x:v>4</x:v>
      </x:c>
      <x:c r="O7" s="29" t="str">
        <x:v>Sí</x:v>
      </x:c>
      <x:c r="P7" s="29" t="str">
        <x:v>Sí</x:v>
      </x:c>
      <x:c r="Q7" s="29" t="str">
        <x:v>Mixta: texto proveedor/comunidad + descripción específica producto</x:v>
      </x:c>
      <x:c r="R7" s="29" t="str">
        <x:v>Sí</x:v>
      </x:c>
      <x:c r="S7" s="29" t="str">
        <x:v>No visible</x:v>
      </x:c>
      <x:c r="T7" s="29" t="str">
        <x:v>Sí</x:v>
      </x:c>
      <x:c r="U7" s="29" t="str">
        <x:v>Pestaña visible, no abierta</x:v>
      </x:c>
      <x:c r="V7" s="29" t="str">
        <x:v>Pestaña visible, no abierta</x:v>
      </x:c>
      <x:c r="W7" s="29" t="str">
        <x:v>Sí</x:v>
      </x:c>
      <x:c r="X7" s="29" t="str">
        <x:v>Captura 2026-05-28 5.03.03 p.m.</x:v>
      </x:c>
      <x:c r="Y7" s="29" t="str">
        <x:v>Incluye texto de servicio al cliente/comunidad; descripción específica de taladro inalámbrico con características destacadas e incluye accesorios.</x:v>
      </x:c>
    </x:row>
    <x:row r="8">
      <x:c r="A8" s="29" t="n">
        <x:v>7</x:v>
      </x:c>
      <x:c r="B8" s="29" t="str">
        <x:v>136678</x:v>
      </x:c>
      <x:c r="C8" s="29" t="str">
        <x:v>Fish Catcher X 2 unds</x:v>
      </x:c>
      <x:c r="D8" s="29" t="str">
        <x:v>FISHCATCHER1</x:v>
      </x:c>
      <x:c r="E8" s="29" t="str">
        <x:v>Pesca; Otro</x:v>
      </x:c>
      <x:c r="F8" s="29" t="str">
        <x:v>Deportes</x:v>
      </x:c>
      <x:c r="G8" s="29" t="str">
        <x:v>Variable</x:v>
      </x:c>
      <x:c r="H8" s="30" t="n">
        <x:v>18900</x:v>
      </x:c>
      <x:c r="I8" s="30" t="n">
        <x:v>38900</x:v>
      </x:c>
      <x:c r="J8" s="30" t="n">
        <x:v>677</x:v>
      </x:c>
      <x:c r="K8" s="30" t="n">
        <x:v>0</x:v>
      </x:c>
      <x:c r="L8" s="29" t="str">
        <x:v>Yumbo</x:v>
      </x:c>
      <x:c r="M8" s="29" t="str">
        <x:v>CALI, YUMBO</x:v>
      </x:c>
      <x:c r="N8" s="29" t="n">
        <x:v>3</x:v>
      </x:c>
      <x:c r="O8" s="29" t="str">
        <x:v>Sí</x:v>
      </x:c>
      <x:c r="P8" s="29" t="str">
        <x:v>No</x:v>
      </x:c>
      <x:c r="Q8" s="29" t="str">
        <x:v>Descripción mal renderizada / JSON visible</x:v>
      </x:c>
      <x:c r="R8" s="29" t="str">
        <x:v>Sí, dentro de texto mal renderizado</x:v>
      </x:c>
      <x:c r="S8" s="29" t="str">
        <x:v>No visible</x:v>
      </x:c>
      <x:c r="T8" s="29" t="str">
        <x:v>Sí, dentro de texto mal renderizado</x:v>
      </x:c>
      <x:c r="U8" s="29" t="str">
        <x:v>Pestaña visible, no abierta</x:v>
      </x:c>
      <x:c r="V8" s="29" t="str">
        <x:v>Pestaña visible, no abierta</x:v>
      </x:c>
      <x:c r="W8" s="29" t="str">
        <x:v>No</x:v>
      </x:c>
      <x:c r="X8" s="29" t="str">
        <x:v>Captura 2026-05-28 5.02.56 p.m.</x:v>
      </x:c>
      <x:c r="Y8" s="29" t="str">
        <x:v>Producto variable con variantes de color; descripción se visualiza como JSON/texto sin renderizar.</x:v>
      </x:c>
    </x:row>
    <x:row r="9">
      <x:c r="A9" s="29" t="n">
        <x:v>8</x:v>
      </x:c>
      <x:c r="B9" s="29" t="str">
        <x:v>96615</x:v>
      </x:c>
      <x:c r="C9" s="29" t="str">
        <x:v>Arnes Para Mascota</x:v>
      </x:c>
      <x:c r="D9" s="29" t="str">
        <x:v>01ARNES</x:v>
      </x:c>
      <x:c r="E9" s="29" t="str">
        <x:v>Mascotas</x:v>
      </x:c>
      <x:c r="F9" s="29" t="str">
        <x:v>Mascotas</x:v>
      </x:c>
      <x:c r="G9" s="29" t="str">
        <x:v>Variable</x:v>
      </x:c>
      <x:c r="H9" s="30" t="n">
        <x:v>34900</x:v>
      </x:c>
      <x:c r="I9" s="30" t="n">
        <x:v>59900</x:v>
      </x:c>
      <x:c r="J9" s="30" t="n">
        <x:v>20</x:v>
      </x:c>
      <x:c r="K9" s="30" t="n">
        <x:v>0</x:v>
      </x:c>
      <x:c r="L9" s="29" t="str">
        <x:v>Yumbo</x:v>
      </x:c>
      <x:c r="M9" s="29" t="str">
        <x:v>CALI, YUMBO</x:v>
      </x:c>
      <x:c r="N9" s="29" t="n">
        <x:v>3</x:v>
      </x:c>
      <x:c r="O9" s="29" t="str">
        <x:v>Sí</x:v>
      </x:c>
      <x:c r="P9" s="29" t="str">
        <x:v>No</x:v>
      </x:c>
      <x:c r="Q9" s="29" t="str">
        <x:v>Descripción mal renderizada / JSON visible</x:v>
      </x:c>
      <x:c r="R9" s="29" t="str">
        <x:v>Sí, dentro de texto mal renderizado</x:v>
      </x:c>
      <x:c r="S9" s="29" t="str">
        <x:v>No visible</x:v>
      </x:c>
      <x:c r="T9" s="29" t="str">
        <x:v>Sí, dentro de texto mal renderizado</x:v>
      </x:c>
      <x:c r="U9" s="29" t="str">
        <x:v>Pestaña visible, no abierta</x:v>
      </x:c>
      <x:c r="V9" s="29" t="str">
        <x:v>Pestaña visible, no abierta</x:v>
      </x:c>
      <x:c r="W9" s="29" t="str">
        <x:v>No</x:v>
      </x:c>
      <x:c r="X9" s="29" t="str">
        <x:v>Captura 2026-05-28 5.02.51 p.m.</x:v>
      </x:c>
      <x:c r="Y9" s="29" t="str">
        <x:v>Producto variable con tallas S y M; descripción se visualiza como JSON/texto sin renderizar.</x:v>
      </x:c>
    </x:row>
    <x:row r="10">
      <x:c r="A10" s="39" t="n">
        <x:v>9</x:v>
      </x:c>
      <x:c r="B10" s="20" t="str">
        <x:v>1971689</x:v>
      </x:c>
      <x:c r="C10" s="20" t="str">
        <x:v>Anillo Gato Ajustable Plateado</x:v>
      </x:c>
      <x:c r="D10" s="20" t="str">
        <x:v>01GATOANILLO</x:v>
      </x:c>
      <x:c r="E10" s="20" t="str">
        <x:v>Bisutería</x:v>
      </x:c>
      <x:c r="F10" s="20" t="str">
        <x:v>Bisutería</x:v>
      </x:c>
      <x:c r="G10" s="20" t="str">
        <x:v>Simple</x:v>
      </x:c>
      <x:c r="H10" s="40" t="n">
        <x:v>9900</x:v>
      </x:c>
      <x:c r="I10" s="40" t="n">
        <x:v>29900</x:v>
      </x:c>
      <x:c r="J10" s="40" t="n">
        <x:v>408</x:v>
      </x:c>
      <x:c r="K10" s="40" t="n">
        <x:v>0</x:v>
      </x:c>
      <x:c r="L10" s="20" t="str">
        <x:v>Yumbo</x:v>
      </x:c>
      <x:c r="M10" s="20" t="str">
        <x:v>CALI, YUMBO</x:v>
      </x:c>
      <x:c r="N10" s="39" t="n">
        <x:v>3</x:v>
      </x:c>
      <x:c r="O10" s="20" t="str">
        <x:v>Sí</x:v>
      </x:c>
      <x:c r="P10" s="20" t="str">
        <x:v>No</x:v>
      </x:c>
      <x:c r="Q10" s="20" t="str">
        <x:v>Descripción específica producto</x:v>
      </x:c>
      <x:c r="R10" s="20" t="str">
        <x:v>Sí</x:v>
      </x:c>
      <x:c r="S10" s="20" t="str">
        <x:v>No visible</x:v>
      </x:c>
      <x:c r="T10" s="20" t="str">
        <x:v>Sí</x:v>
      </x:c>
      <x:c r="U10" s="20" t="str">
        <x:v>Pestaña visible, no abierta</x:v>
      </x:c>
      <x:c r="V10" s="20" t="str">
        <x:v>Pestaña visible, no abierta</x:v>
      </x:c>
      <x:c r="W10" s="20" t="str">
        <x:v>No</x:v>
      </x:c>
      <x:c r="X10" s="20" t="str">
        <x:v>Captura 2026-05-28 5.02.45 p.m.</x:v>
      </x:c>
      <x:c r="Y10" s="20" t="str">
        <x:v>Descripción visible con secciones ¿Qué es?, ¿Para qué sirve?, ¿Cómo funciona? y ¿Qué incluye?; incluye material/acabado y diseño.</x:v>
      </x:c>
    </x:row>
    <x:row r="11">
      <x:c r="A11" s="39" t="n">
        <x:v>10</x:v>
      </x:c>
      <x:c r="B11" s="20" t="str">
        <x:v>2137710</x:v>
      </x:c>
      <x:c r="C11" s="20" t="str">
        <x:v>Punzon De Impacto</x:v>
      </x:c>
      <x:c r="D11" s="20" t="str">
        <x:v>PUNZONDEIMPACTO1</x:v>
      </x:c>
      <x:c r="E11" s="20" t="str">
        <x:v>Herramientas</x:v>
      </x:c>
      <x:c r="F11" s="20" t="str">
        <x:v>Herramientas</x:v>
      </x:c>
      <x:c r="G11" s="20" t="str">
        <x:v>Simple</x:v>
      </x:c>
      <x:c r="H11" s="40" t="n">
        <x:v>17900</x:v>
      </x:c>
      <x:c r="I11" s="40" t="n">
        <x:v>37900</x:v>
      </x:c>
      <x:c r="J11" s="40" t="n">
        <x:v>4</x:v>
      </x:c>
      <x:c r="K11" s="40" t="n">
        <x:v>0</x:v>
      </x:c>
      <x:c r="L11" s="20" t="str">
        <x:v>Yumbo</x:v>
      </x:c>
      <x:c r="M11" s="20" t="str">
        <x:v>CALI, YUMBO</x:v>
      </x:c>
      <x:c r="N11" s="39" t="n">
        <x:v>3</x:v>
      </x:c>
      <x:c r="O11" s="20" t="str">
        <x:v>Sí</x:v>
      </x:c>
      <x:c r="P11" s="20" t="str">
        <x:v>No</x:v>
      </x:c>
      <x:c r="Q11" s="20" t="str">
        <x:v>Descripción específica producto</x:v>
      </x:c>
      <x:c r="R11" s="20" t="str">
        <x:v>Sí</x:v>
      </x:c>
      <x:c r="S11" s="20" t="str">
        <x:v>No visible</x:v>
      </x:c>
      <x:c r="T11" s="20" t="str">
        <x:v>Sí</x:v>
      </x:c>
      <x:c r="U11" s="20" t="str">
        <x:v>Pestaña visible, no abierta</x:v>
      </x:c>
      <x:c r="V11" s="20" t="str">
        <x:v>Pestaña visible, no abierta</x:v>
      </x:c>
      <x:c r="W11" s="20" t="str">
        <x:v>No</x:v>
      </x:c>
      <x:c r="X11" s="20" t="str">
        <x:v>Captura 2026-05-28 5.02.25 p.m.</x:v>
      </x:c>
      <x:c r="Y11" s="20" t="str">
        <x:v>Descripción específica de herramienta; incluye usos, beneficios y características como punta de alta resistencia, mango ergonómico y construcción robusta.</x:v>
      </x:c>
    </x:row>
    <x:row r="12">
      <x:c r="A12" s="39" t="n">
        <x:v>11</x:v>
      </x:c>
      <x:c r="B12" s="20" t="str">
        <x:v>1627199</x:v>
      </x:c>
      <x:c r="C12" s="20" t="str">
        <x:v>Cinta Impermeable Autoadhesiva 5cmx 2.5m</x:v>
      </x:c>
      <x:c r="D12" s="20" t="str">
        <x:v>CINTA ASFALTO 5CMX2.5M</x:v>
      </x:c>
      <x:c r="E12" s="20" t="str">
        <x:v>Hogar; Herramientas</x:v>
      </x:c>
      <x:c r="F12" s="20" t="str">
        <x:v>Herramientas</x:v>
      </x:c>
      <x:c r="G12" s="20" t="str">
        <x:v>Simple</x:v>
      </x:c>
      <x:c r="H12" s="40" t="n">
        <x:v>9900</x:v>
      </x:c>
      <x:c r="I12" s="40" t="n">
        <x:v>29900</x:v>
      </x:c>
      <x:c r="J12" s="40" t="n">
        <x:v>726</x:v>
      </x:c>
      <x:c r="K12" s="40" t="n">
        <x:v>0</x:v>
      </x:c>
      <x:c r="L12" s="20" t="str">
        <x:v>Yumbo</x:v>
      </x:c>
      <x:c r="M12" s="20" t="str">
        <x:v>CALI, YUMBO</x:v>
      </x:c>
      <x:c r="N12" s="39" t="n">
        <x:v>5</x:v>
      </x:c>
      <x:c r="O12" s="20" t="str">
        <x:v>Sí</x:v>
      </x:c>
      <x:c r="P12" s="20" t="str">
        <x:v>No</x:v>
      </x:c>
      <x:c r="Q12" s="20" t="str">
        <x:v>Mixta: texto proveedor/comunidad + descripción específica producto</x:v>
      </x:c>
      <x:c r="R12" s="20" t="str">
        <x:v>Sí</x:v>
      </x:c>
      <x:c r="S12" s="20" t="str">
        <x:v>No visible</x:v>
      </x:c>
      <x:c r="T12" s="20" t="str">
        <x:v>Sí</x:v>
      </x:c>
      <x:c r="U12" s="20" t="str">
        <x:v>Pestaña visible, no abierta</x:v>
      </x:c>
      <x:c r="V12" s="20" t="str">
        <x:v>Pestaña visible, no abierta</x:v>
      </x:c>
      <x:c r="W12" s="20" t="str">
        <x:v>Sí</x:v>
      </x:c>
      <x:c r="X12" s="20" t="str">
        <x:v>Captura 2026-05-28 5.02.21 p.m.</x:v>
      </x:c>
      <x:c r="Y12" s="20" t="str">
        <x:v>Incluye texto de servicio al cliente/comunidad; descripción específica de cinta impermeable con beneficios como sellado, resistencia, impermeabilidad y aplicación sin herramientas.</x:v>
      </x:c>
    </x:row>
    <x:row r="13">
      <x:c r="A13" s="39" t="n">
        <x:v>12</x:v>
      </x:c>
      <x:c r="B13" s="20" t="str">
        <x:v>152616</x:v>
      </x:c>
      <x:c r="C13" s="20" t="str">
        <x:v>Estanteria De Ropa</x:v>
      </x:c>
      <x:c r="D13" s="20" t="str">
        <x:v>COLGADOROPA</x:v>
      </x:c>
      <x:c r="E13" s="20" t="str">
        <x:v>Hogar; Natural Home; Otro</x:v>
      </x:c>
      <x:c r="F13" s="20" t="str">
        <x:v>Hogar</x:v>
      </x:c>
      <x:c r="G13" s="20" t="str">
        <x:v>Simple</x:v>
      </x:c>
      <x:c r="H13" s="40" t="n">
        <x:v>49900</x:v>
      </x:c>
      <x:c r="I13" s="40" t="n">
        <x:v>69900</x:v>
      </x:c>
      <x:c r="J13" s="40" t="n">
        <x:v>72</x:v>
      </x:c>
      <x:c r="K13" s="40" t="n">
        <x:v>0</x:v>
      </x:c>
      <x:c r="L13" s="20" t="str">
        <x:v>Yumbo</x:v>
      </x:c>
      <x:c r="M13" s="20" t="str">
        <x:v>CALI, YUMBO</x:v>
      </x:c>
      <x:c r="N13" s="39" t="n">
        <x:v>3</x:v>
      </x:c>
      <x:c r="O13" s="20" t="str">
        <x:v>Sí</x:v>
      </x:c>
      <x:c r="P13" s="20" t="str">
        <x:v>Sí</x:v>
      </x:c>
      <x:c r="Q13" s="20" t="str">
        <x:v>Mixta: texto proveedor/comunidad + descripción específica producto</x:v>
      </x:c>
      <x:c r="R13" s="20" t="str">
        <x:v>Sí</x:v>
      </x:c>
      <x:c r="S13" s="20" t="str">
        <x:v>No visible</x:v>
      </x:c>
      <x:c r="T13" s="20" t="str">
        <x:v>Sí</x:v>
      </x:c>
      <x:c r="U13" s="20" t="str">
        <x:v>Pestaña visible, no abierta</x:v>
      </x:c>
      <x:c r="V13" s="20" t="str">
        <x:v>Pestaña visible, no abierta</x:v>
      </x:c>
      <x:c r="W13" s="20" t="str">
        <x:v>Sí</x:v>
      </x:c>
      <x:c r="X13" s="20" t="str">
        <x:v>Captura 2026-05-28 5.02.15 p.m.</x:v>
      </x:c>
      <x:c r="Y13" s="20" t="str">
        <x:v>Incluye texto de servicio al cliente/comunidad; descripción específica de estantería de ropa con funcionamiento, diseño, capacidad, resistencia y estilo. El contenido continúa fuera del pantallazo.</x:v>
      </x:c>
    </x:row>
    <x:row r="14" ht="38" customHeight="1">
      <x:c r="A14" s="20" t="n">
        <x:v>13</x:v>
      </x:c>
      <x:c r="B14" s="20" t="str">
        <x:v>387587</x:v>
      </x:c>
      <x:c r="C14" s="20" t="str">
        <x:v>Base Moisture Cushion</x:v>
      </x:c>
      <x:c r="D14" s="20" t="str">
        <x:v>BASEMAQUILLAJE</x:v>
      </x:c>
      <x:c r="E14" s="20" t="str">
        <x:v>Belleza</x:v>
      </x:c>
      <x:c r="F14" s="20" t="str">
        <x:v>Belleza</x:v>
      </x:c>
      <x:c r="G14" s="20" t="str">
        <x:v>Variable</x:v>
      </x:c>
      <x:c r="H14" s="40" t="n">
        <x:v>15900</x:v>
      </x:c>
      <x:c r="I14" s="40" t="n">
        <x:v>29900</x:v>
      </x:c>
      <x:c r="J14" s="40" t="n">
        <x:v>41834</x:v>
      </x:c>
      <x:c r="K14" s="40" t="n">
        <x:v>0</x:v>
      </x:c>
      <x:c r="L14" s="20" t="str">
        <x:v>Yumbo</x:v>
      </x:c>
      <x:c r="M14" s="20" t="str">
        <x:v>CALI, YUMBO</x:v>
      </x:c>
      <x:c r="N14" s="20" t="n">
        <x:v>5</x:v>
      </x:c>
      <x:c r="O14" s="20" t="str">
        <x:v>Sí</x:v>
      </x:c>
      <x:c r="P14" s="20" t="str">
        <x:v>Sí</x:v>
      </x:c>
      <x:c r="Q14" s="20" t="str">
        <x:v>Mixta: texto proveedor/comunidad + descripción específica producto</x:v>
      </x:c>
      <x:c r="R14" s="20" t="str">
        <x:v>Sí</x:v>
      </x:c>
      <x:c r="S14" s="20" t="str">
        <x:v>No visible</x:v>
      </x:c>
      <x:c r="T14" s="20" t="str">
        <x:v>Sí</x:v>
      </x:c>
      <x:c r="U14" s="20" t="str">
        <x:v>Pestaña visible, no abierta</x:v>
      </x:c>
      <x:c r="V14" s="20" t="str">
        <x:v>Pestaña visible, no abierta</x:v>
      </x:c>
      <x:c r="W14" s="20" t="str">
        <x:v>Sí</x:v>
      </x:c>
      <x:c r="X14" s="20" t="str">
        <x:v>Captura 2026-05-28 5.02.10 p.m.</x:v>
      </x:c>
      <x:c r="Y14" s="20" t="str">
        <x:v>Producto variable con tonos Color N2, Color N3 y Color N1; incluye texto de servicio al cliente/comunidad y descripción específica de base de maquillaje con tonos visibles. El contenido continúa fuera del pantallazo.</x:v>
      </x:c>
    </x:row>
    <x:row r="15" ht="38" customHeight="1">
      <x:c r="A15" s="20" t="n">
        <x:v>14</x:v>
      </x:c>
      <x:c r="B15" s="20" t="str">
        <x:v>209543</x:v>
      </x:c>
      <x:c r="C15" s="20" t="str">
        <x:v>Bolso Pocket Pro</x:v>
      </x:c>
      <x:c r="D15" s="20" t="str">
        <x:v>01POCKET</x:v>
      </x:c>
      <x:c r="E15" s="20" t="str">
        <x:v>Moda; Otro</x:v>
      </x:c>
      <x:c r="F15" s="20" t="str">
        <x:v>Moda</x:v>
      </x:c>
      <x:c r="G15" s="20" t="str">
        <x:v>Variable</x:v>
      </x:c>
      <x:c r="H15" s="40" t="n">
        <x:v>44900</x:v>
      </x:c>
      <x:c r="I15" s="40" t="n">
        <x:v>69900</x:v>
      </x:c>
      <x:c r="J15" s="40" t="n">
        <x:v>155</x:v>
      </x:c>
      <x:c r="K15" s="40" t="n">
        <x:v>0</x:v>
      </x:c>
      <x:c r="L15" s="20" t="str">
        <x:v>Yumbo</x:v>
      </x:c>
      <x:c r="M15" s="20" t="str">
        <x:v>CALI, YUMBO</x:v>
      </x:c>
      <x:c r="N15" s="20" t="n">
        <x:v>5</x:v>
      </x:c>
      <x:c r="O15" s="20" t="str">
        <x:v>Sí</x:v>
      </x:c>
      <x:c r="P15" s="20" t="str">
        <x:v>Sí</x:v>
      </x:c>
      <x:c r="Q15" s="20" t="str">
        <x:v>Descripción mal renderizada / JSON visible</x:v>
      </x:c>
      <x:c r="R15" s="20" t="str">
        <x:v>Sí, dentro de texto mal renderizado</x:v>
      </x:c>
      <x:c r="S15" s="20" t="str">
        <x:v>No visible</x:v>
      </x:c>
      <x:c r="T15" s="20" t="str">
        <x:v>Sí, dentro de texto mal renderizado</x:v>
      </x:c>
      <x:c r="U15" s="20" t="str">
        <x:v>Pestaña visible, no abierta</x:v>
      </x:c>
      <x:c r="V15" s="20" t="str">
        <x:v>Pestaña visible, no abierta</x:v>
      </x:c>
      <x:c r="W15" s="20" t="str">
        <x:v>No</x:v>
      </x:c>
      <x:c r="X15" s="20" t="str">
        <x:v>Captura 2026-05-28 5.02.03 p.m.</x:v>
      </x:c>
      <x:c r="Y15" s="20" t="str">
        <x:v>Producto variable con variantes Color Cafe, Color Negro y Color Rojo; descripción se visualiza como JSON/texto sin renderizar y continúa fuera del pantallazo.</x:v>
      </x:c>
    </x:row>
    <x:row r="16" ht="38" customHeight="1">
      <x:c r="A16" s="20" t="n">
        <x:v>15</x:v>
      </x:c>
      <x:c r="B16" s="20" t="str">
        <x:v>333390</x:v>
      </x:c>
      <x:c r="C16" s="20" t="str">
        <x:v>Manguera A Presion Para Limpieza</x:v>
      </x:c>
      <x:c r="D16" s="20" t="str">
        <x:v>MANGUERACOCHES</x:v>
      </x:c>
      <x:c r="E16" s="20" t="str">
        <x:v>Vehículos</x:v>
      </x:c>
      <x:c r="F16" s="20" t="str">
        <x:v>Vehículos</x:v>
      </x:c>
      <x:c r="G16" s="20" t="str">
        <x:v>Simple</x:v>
      </x:c>
      <x:c r="H16" s="40" t="n">
        <x:v>22900</x:v>
      </x:c>
      <x:c r="I16" s="40" t="n">
        <x:v>52900</x:v>
      </x:c>
      <x:c r="J16" s="40" t="n">
        <x:v>3316</x:v>
      </x:c>
      <x:c r="K16" s="40" t="n">
        <x:v>0</x:v>
      </x:c>
      <x:c r="L16" s="20" t="str">
        <x:v>Yumbo</x:v>
      </x:c>
      <x:c r="M16" s="20" t="str">
        <x:v>CALI, YUMBO</x:v>
      </x:c>
      <x:c r="N16" s="20" t="n">
        <x:v>5</x:v>
      </x:c>
      <x:c r="O16" s="20" t="str">
        <x:v>Sí</x:v>
      </x:c>
      <x:c r="P16" s="20" t="str">
        <x:v>Sí</x:v>
      </x:c>
      <x:c r="Q16" s="20" t="str">
        <x:v>Mixta: texto proveedor/comunidad + descripción específica producto</x:v>
      </x:c>
      <x:c r="R16" s="20" t="str">
        <x:v>Sí</x:v>
      </x:c>
      <x:c r="S16" s="20" t="str">
        <x:v>No visible</x:v>
      </x:c>
      <x:c r="T16" s="20" t="str">
        <x:v>Sí</x:v>
      </x:c>
      <x:c r="U16" s="20" t="str">
        <x:v>Pestaña visible, no abierta</x:v>
      </x:c>
      <x:c r="V16" s="20" t="str">
        <x:v>Pestaña visible, no abierta</x:v>
      </x:c>
      <x:c r="W16" s="20" t="str">
        <x:v>Sí</x:v>
      </x:c>
      <x:c r="X16" s="20" t="str">
        <x:v>Captura 2026-05-28 5.01.55 p.m.</x:v>
      </x:c>
      <x:c r="Y16" s="20" t="str">
        <x:v>Incluye texto de servicio al cliente/comunidad; descripción específica de manguera a presión para vehículos con características y usos visibles. El contenido continúa fuera del pantallazo.</x:v>
      </x:c>
    </x:row>
    <x:row r="17" ht="38" customHeight="1">
      <x:c r="A17" s="20" t="n">
        <x:v>16</x:v>
      </x:c>
      <x:c r="B17" s="20" t="str">
        <x:v>1752098</x:v>
      </x:c>
      <x:c r="C17" s="20" t="str">
        <x:v>Bateria Repuesto Aspiradora Potente</x:v>
      </x:c>
      <x:c r="D17" s="20" t="str">
        <x:v>REPUESTOBATERIA</x:v>
      </x:c>
      <x:c r="E17" s="20" t="str">
        <x:v>Hogar; Herramientas</x:v>
      </x:c>
      <x:c r="F17" s="20" t="str">
        <x:v>Hogar</x:v>
      </x:c>
      <x:c r="G17" s="20" t="str">
        <x:v>Simple</x:v>
      </x:c>
      <x:c r="H17" s="40" t="n">
        <x:v>22900</x:v>
      </x:c>
      <x:c r="I17" s="40" t="n">
        <x:v>42900</x:v>
      </x:c>
      <x:c r="J17" s="40" t="n">
        <x:v>40</x:v>
      </x:c>
      <x:c r="K17" s="40" t="n">
        <x:v>0</x:v>
      </x:c>
      <x:c r="L17" s="20" t="str">
        <x:v>Yumbo</x:v>
      </x:c>
      <x:c r="M17" s="20" t="str">
        <x:v>CALI, YUMBO</x:v>
      </x:c>
      <x:c r="N17" s="20" t="n">
        <x:v>3</x:v>
      </x:c>
      <x:c r="O17" s="20" t="str">
        <x:v>Sí</x:v>
      </x:c>
      <x:c r="P17" s="20" t="str">
        <x:v>No</x:v>
      </x:c>
      <x:c r="Q17" s="20" t="str">
        <x:v>Garantía / condiciones + texto proveedor</x:v>
      </x:c>
      <x:c r="R17" s="20" t="str">
        <x:v>No visible</x:v>
      </x:c>
      <x:c r="S17" s="20" t="str">
        <x:v>No visible</x:v>
      </x:c>
      <x:c r="T17" s="20" t="str">
        <x:v>No visible</x:v>
      </x:c>
      <x:c r="U17" s="20" t="str">
        <x:v>Sí, texto visible en detalles</x:v>
      </x:c>
      <x:c r="V17" s="20" t="str">
        <x:v>Pestaña visible, no abierta</x:v>
      </x:c>
      <x:c r="W17" s="20" t="str">
        <x:v>Sí</x:v>
      </x:c>
      <x:c r="X17" s="20" t="str">
        <x:v>Captura 2026-05-28 5.01.50 p.m.</x:v>
      </x:c>
      <x:c r="Y17" s="20" t="str">
        <x:v>Incluye texto de servicio al cliente/comunidad y condiciones de garantía/paquetes incompletos; no se observan características técnicas del producto en el pantallazo.</x:v>
      </x:c>
    </x:row>
  </x:sheetData>
  <x:pageMargins left="0.7" right="0.7" top="0.75" bottom="0.75" header="0.3" footer="0.3"/>
  <x:tableParts count="1">
    <x:tablePart xmlns:r="http://schemas.openxmlformats.org/officeDocument/2006/relationships" r:id="R84d95a22925f4984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34" hidden="0" customWidth="1"/>
    <x:col min="3" max="3" width="34" hidden="0" customWidth="1"/>
  </x:cols>
  <x:sheetData>
    <x:row r="1">
      <x:c r="A1" s="6" t="str">
        <x:v>Data faltante / no disponible</x:v>
      </x:c>
      <x:c r="B1" s="6" t="str">
        <x:v>Estado</x:v>
      </x:c>
      <x:c r="C1" s="6" t="str">
        <x:v>Comentario / pregunta para Data-BI</x:v>
      </x:c>
      <x:c r="D1" s="20"/>
      <x:c r="E1" s="20"/>
      <x:c r="F1" s="20"/>
      <x:c r="G1" s="20"/>
      <x:c r="H1" s="20"/>
      <x:c r="I1" s="20"/>
      <x:c r="J1" s="20"/>
      <x:c r="K1" s="20"/>
      <x:c r="L1" s="20"/>
      <x:c r="M1" s="20"/>
      <x:c r="N1" s="20"/>
      <x:c r="O1" s="20"/>
      <x:c r="P1" s="20"/>
      <x:c r="Q1" s="20"/>
      <x:c r="R1" s="20"/>
      <x:c r="S1" s="20"/>
      <x:c r="T1" s="20"/>
      <x:c r="U1" s="20"/>
      <x:c r="V1" s="20"/>
      <x:c r="W1" s="20"/>
      <x:c r="X1" s="20"/>
      <x:c r="Y1" s="20"/>
      <x:c r="Z1" s="20"/>
    </x:row>
    <x:row r="2">
      <x:c r="A2" t="str">
        <x:v>Productos privados o no visibles</x:v>
      </x:c>
      <x:c r="B2" t="str">
        <x:v>No disponible</x:v>
      </x:c>
      <x:c r="C2" t="str">
        <x:v>Validar si los 529 productos del perfil son públicos, privados, inactivos, agotados o restringidos por bodega/mercado.</x:v>
      </x:c>
    </x:row>
    <x:row r="3">
      <x:c r="A3" t="str">
        <x:v>Órdenes por producto</x:v>
      </x:c>
      <x:c r="B3" t="str">
        <x:v>No disponible</x:v>
      </x:c>
      <x:c r="C3" t="str">
        <x:v>Necesario para saber qué productos explican las 13.575 órdenes.</x:v>
      </x:c>
    </x:row>
    <x:row r="4">
      <x:c r="A4" t="str">
        <x:v>GMV por producto</x:v>
      </x:c>
      <x:c r="B4" t="str">
        <x:v>No disponible</x:v>
      </x:c>
      <x:c r="C4" t="str">
        <x:v>Necesario para medir valor económico por SKU/categoría.</x:v>
      </x:c>
    </x:row>
    <x:row r="5">
      <x:c r="A5" t="str">
        <x:v>Productos con 0 órdenes</x:v>
      </x:c>
      <x:c r="B5" t="str">
        <x:v>No disponible</x:v>
      </x:c>
      <x:c r="C5" t="str">
        <x:v>Clave para identificar ruido de catálogo.</x:v>
      </x:c>
    </x:row>
    <x:row r="6">
      <x:c r="A6" t="str">
        <x:v>Fecha de creación del producto</x:v>
      </x:c>
      <x:c r="B6" t="str">
        <x:v>No disponible</x:v>
      </x:c>
      <x:c r="C6" t="str">
        <x:v>Permite medir tiempo a primera orden.</x:v>
      </x:c>
    </x:row>
    <x:row r="7">
      <x:c r="A7" t="str">
        <x:v>Fecha de primera orden</x:v>
      </x:c>
      <x:c r="B7" t="str">
        <x:v>No disponible</x:v>
      </x:c>
      <x:c r="C7" t="str">
        <x:v>Permite medir activación por producto.</x:v>
      </x:c>
    </x:row>
    <x:row r="8">
      <x:c r="A8" t="str">
        <x:v>Rotación de inventario</x:v>
      </x:c>
      <x:c r="B8" t="str">
        <x:v>No disponible</x:v>
      </x:c>
      <x:c r="C8" t="str">
        <x:v>Necesario para entender demanda vs stock.</x:v>
      </x:c>
    </x:row>
    <x:row r="9">
      <x:c r="A9" t="str">
        <x:v>Cancelaciones / devoluciones / reclamos por producto</x:v>
      </x:c>
      <x:c r="B9" t="str">
        <x:v>No disponible</x:v>
      </x:c>
      <x:c r="C9" t="str">
        <x:v>Importante porque el perfil muestra postventa estable con más reclamos de lo habitual.</x:v>
      </x:c>
    </x:row>
    <x:row r="10">
      <x:c r="A10" t="str">
        <x:v>Visitas / clics / envíos a cliente</x:v>
      </x:c>
      <x:c r="B10" t="str">
        <x:v>No disponible</x:v>
      </x:c>
      <x:c r="C10" t="str">
        <x:v>Ayuda a distinguir problema de demanda vs conversión.</x:v>
      </x:c>
    </x:row>
    <x:row r="11">
      <x:c r="A11" t="str">
        <x:v>Margen real del dropshipper</x:v>
      </x:c>
      <x:c r="B11" t="str">
        <x:v>Parcial</x:v>
      </x:c>
      <x:c r="C11" t="str">
        <x:v>Solo vemos precio proveedor y precio sugerido; no incluye flete/costos.</x:v>
      </x:c>
    </x:row>
    <x:row r="12">
      <x:c r="A12" t="str">
        <x:v>Stock histórico</x:v>
      </x:c>
      <x:c r="B12" t="str">
        <x:v>No disponible</x:v>
      </x:c>
      <x:c r="C12" t="str">
        <x:v>Necesario para detectar quiebres de stock.</x:v>
      </x:c>
    </x:row>
    <x:row r="13">
      <x:c r="A13" t="str">
        <x:v>Fuente de ventas por canal</x:v>
      </x:c>
      <x:c r="B13" t="str">
        <x:v>No disponible</x:v>
      </x:c>
      <x:c r="C13" t="str">
        <x:v>No sabemos si las órdenes vienen de catálogo, pauta, comunidades u otros canales.</x:v>
      </x:c>
    </x:row>
  </x:sheetData>
  <x:pageMargins left="0.7" right="0.7" top="0.75" bottom="0.75" header="0.3" footer="0.3"/>
  <x:tableParts count="1">
    <x:tablePart xmlns:r="http://schemas.openxmlformats.org/officeDocument/2006/relationships" r:id="Rf954b57c55904f5c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38" hidden="0" customWidth="1"/>
  </x:cols>
  <x:sheetData>
    <x:row r="1">
      <x:c r="A1" s="6" t="str">
        <x:v>Sección</x:v>
      </x:c>
      <x:c r="B1" s="6" t="str">
        <x:v>Lectura inicial / pendiente</x:v>
      </x:c>
      <x:c r="C1" s="20"/>
      <x:c r="D1" s="20"/>
      <x:c r="E1" s="20"/>
      <x:c r="F1" s="20"/>
      <x:c r="G1" s="20"/>
      <x:c r="H1" s="20"/>
      <x:c r="I1" s="20"/>
      <x:c r="J1" s="20"/>
      <x:c r="K1" s="20"/>
      <x:c r="L1" s="20"/>
      <x:c r="M1" s="20"/>
      <x:c r="N1" s="20"/>
      <x:c r="O1" s="20"/>
      <x:c r="P1" s="20"/>
      <x:c r="Q1" s="20"/>
      <x:c r="R1" s="20"/>
      <x:c r="S1" s="20"/>
      <x:c r="T1" s="20"/>
      <x:c r="U1" s="20"/>
      <x:c r="V1" s="20"/>
      <x:c r="W1" s="20"/>
      <x:c r="X1" s="20"/>
      <x:c r="Y1" s="20"/>
      <x:c r="Z1" s="20"/>
    </x:row>
    <x:row r="2">
      <x:c r="A2" t="str">
        <x:v>Estado metodológico</x:v>
      </x:c>
      <x:c r="B2" t="str">
        <x:v>Proveedor incluido en benchmark principal. VITALCOM se excluye por ser marca.</x:v>
      </x:c>
    </x:row>
    <x:row r="3">
      <x:c r="A3" t="str">
        <x:v>Perfil visible</x:v>
      </x:c>
      <x:c r="B3" t="str">
        <x:v>Supplier exclusivo con 529 productos, 13.575 órdenes, 2.047 dropshippers y tiempo de despacho de 6 h.</x:v>
      </x:c>
    </x:row>
    <x:row r="4">
      <x:c r="A4" t="str">
        <x:v>Calificación visible</x:v>
      </x:c>
      <x:c r="B4" t="str">
        <x:v>Estable: buen rendimiento, con oportunidades para mejorar. Postventa: más reclamos de lo habitual.</x:v>
      </x:c>
    </x:row>
    <x:row r="5">
      <x:c r="A5" t="str">
        <x:v>Tipo preliminar de catálogo</x:v>
      </x:c>
      <x:c r="B5" t="str">
        <x:v>Generalista multcategoría / productos de oportunidad.</x:v>
      </x:c>
    </x:row>
    <x:row r="6">
      <x:c r="A6" t="str">
        <x:v>Categorías visibles principales</x:v>
      </x:c>
      <x:c r="B6" t="str">
        <x:v>Hogar, Belleza, Bienestar/Salud, Tecnología, Vehículos, Moda, Bisutería, Herramientas, Juguetería.</x:v>
      </x:c>
    </x:row>
    <x:row r="7">
      <x:c r="A7" t="str">
        <x:v>Punto a validar</x:v>
      </x:c>
      <x:c r="B7" t="str">
        <x:v>Catálogo muy variado con varios productos de bajo stock y algunos agotados; requiere detalle de productos y datos BI para lectura final.</x:v>
      </x:c>
    </x:row>
    <x:row r="8">
      <x:c r="A8" t="str">
        <x:v>Próximo paso</x:v>
      </x:c>
      <x:c r="B8" t="str">
        <x:v>Tomar muestra de detalle de productos para evaluar contenido, imágenes, descripción, stock privado, variantes y garantías.</x:v>
      </x:c>
    </x:row>
    <x:row r="10">
      <x:c r="A10" s="36" t="str">
        <x:v>Detalle de productos revisados</x:v>
      </x:c>
      <x:c r="B10" s="36" t="n">
        <x:v>16</x:v>
      </x:c>
    </x:row>
    <x:row r="11">
      <x:c r="A11" s="20" t="str">
        <x:v>Productos simples</x:v>
      </x:c>
      <x:c r="B11" s="20" t="n">
        <x:v>11</x:v>
      </x:c>
    </x:row>
    <x:row r="12">
      <x:c r="A12" s="20" t="str">
        <x:v>Productos variables</x:v>
      </x:c>
      <x:c r="B12" s="20" t="n">
        <x:v>5</x:v>
      </x:c>
    </x:row>
    <x:row r="13">
      <x:c r="A13" s="20" t="str">
        <x:v>Con descripción visible</x:v>
      </x:c>
      <x:c r="B13" s="20" t="n">
        <x:v>16</x:v>
      </x:c>
    </x:row>
    <x:row r="14">
      <x:c r="A14" s="20" t="str">
        <x:v>Con texto genérico de proveedor/comunidad</x:v>
      </x:c>
      <x:c r="B14" s="20" t="n">
        <x:v>10</x:v>
      </x:c>
    </x:row>
    <x:row r="15">
      <x:c r="A15" s="20" t="str">
        <x:v>Con descripción mal renderizada</x:v>
      </x:c>
      <x:c r="B15" s="20" t="n">
        <x:v>4</x:v>
      </x:c>
    </x:row>
    <x:row r="17">
      <x:c r="A17" s="20" t="str">
        <x:v>Última actualización detalle</x:v>
      </x:c>
      <x:c r="B17" s="20" t="str">
        <x:v>Se agregaron 4 productos: Base Moisture Cushion, Bolso Pocket Pro, Manguera A Presion Para Limpieza y Bateria Repuesto Aspiradora Potente.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34" hidden="0" customWidth="1"/>
  </x:cols>
  <x:sheetData>
    <x:row r="1">
      <x:c r="A1" s="6" t="str">
        <x:v>Campo</x:v>
      </x:c>
      <x:c r="B1" s="6" t="str">
        <x:v>Definición</x:v>
      </x:c>
      <x:c r="C1" s="20"/>
      <x:c r="D1" s="20"/>
      <x:c r="E1" s="20"/>
      <x:c r="F1" s="20"/>
      <x:c r="G1" s="20"/>
      <x:c r="H1" s="20"/>
      <x:c r="I1" s="20"/>
      <x:c r="J1" s="20"/>
      <x:c r="K1" s="20"/>
      <x:c r="L1" s="20"/>
      <x:c r="M1" s="20"/>
      <x:c r="N1" s="20"/>
      <x:c r="O1" s="20"/>
      <x:c r="P1" s="20"/>
      <x:c r="Q1" s="20"/>
      <x:c r="R1" s="20"/>
      <x:c r="S1" s="20"/>
      <x:c r="T1" s="20"/>
      <x:c r="U1" s="20"/>
      <x:c r="V1" s="20"/>
      <x:c r="W1" s="20"/>
      <x:c r="X1" s="20"/>
      <x:c r="Y1" s="20"/>
      <x:c r="Z1" s="20"/>
    </x:row>
    <x:row r="2">
      <x:c r="A2" t="str">
        <x:v>Categoría visible</x:v>
      </x:c>
      <x:c r="B2" t="str">
        <x:v>Categoría que aparece en la card del producto cuando es legible.</x:v>
      </x:c>
    </x:row>
    <x:row r="3">
      <x:c r="A3" t="str">
        <x:v>Categoría final</x:v>
      </x:c>
      <x:c r="B3" t="str">
        <x:v>Categoría ajustada con base en nombre del producto y/o categoría visible.</x:v>
      </x:c>
    </x:row>
    <x:row r="4">
      <x:c r="A4" t="str">
        <x:v>Stock visible</x:v>
      </x:c>
      <x:c r="B4" t="str">
        <x:v>Stock mostrado en la card del producto.</x:v>
      </x:c>
    </x:row>
    <x:row r="5">
      <x:c r="A5" t="str">
        <x:v>Estado stock</x:v>
      </x:c>
      <x:c r="B5" t="str">
        <x:v>Disponible, Agotado o visible sin stock capturado.</x:v>
      </x:c>
    </x:row>
    <x:row r="6">
      <x:c r="A6" t="str">
        <x:v>Tipo visible</x:v>
      </x:c>
      <x:c r="B6" t="str">
        <x:v>Variable si aparece etiqueta variable; no visible cuando no se observa.</x:v>
      </x:c>
    </x:row>
    <x:row r="7">
      <x:c r="A7" t="str">
        <x:v>Precio proveedor</x:v>
      </x:c>
      <x:c r="B7" t="str">
        <x:v>Precio proveedor visible en la card.</x:v>
      </x:c>
    </x:row>
    <x:row r="8">
      <x:c r="A8" t="str">
        <x:v>Precio sugerido</x:v>
      </x:c>
      <x:c r="B8" t="str">
        <x:v>Precio sugerido visible en la card.</x:v>
      </x:c>
    </x:row>
    <x:row r="9">
      <x:c r="A9" t="str">
        <x:v>Diferencia precio</x:v>
      </x:c>
      <x:c r="B9" t="str">
        <x:v>Fórmula: precio sugerido - precio proveedor.</x:v>
      </x:c>
    </x:row>
    <x:row r="10">
      <x:c r="A10" t="str">
        <x:v>% markup sobre proveedor</x:v>
      </x:c>
      <x:c r="B10" t="str">
        <x:v>Fórmula: diferencia precio / precio proveedor.</x:v>
      </x:c>
    </x:row>
    <x:row r="11">
      <x:c r="A11" t="str">
        <x:v>Fuente screenshot</x:v>
      </x:c>
      <x:c r="B11" t="str">
        <x:v>Bloque de pantallazo del que se extrajo el dato.</x:v>
      </x:c>
    </x:row>
  </x:sheetData>
  <x:pageMargins left="0.7" right="0.7" top="0.75" bottom="0.75" header="0.3" footer="0.3"/>
</x:worksheet>
</file>