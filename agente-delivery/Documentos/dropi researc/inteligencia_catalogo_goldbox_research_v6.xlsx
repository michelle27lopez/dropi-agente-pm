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ad37eba2b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8f9aa5af3d0f4f38"/>
    <x:sheet xmlns:r="http://schemas.openxmlformats.org/officeDocument/2006/relationships" name="01_Detalle_productos" sheetId="2" r:id="Rad0972aa18f045bb"/>
    <x:sheet xmlns:r="http://schemas.openxmlformats.org/officeDocument/2006/relationships" name="02_Catalogo_visible" sheetId="3" r:id="R796dc00f52774350"/>
    <x:sheet xmlns:r="http://schemas.openxmlformats.org/officeDocument/2006/relationships" name="03_Diccionario" sheetId="4" r:id="Rc705679694b3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 #,##0"/>
    <x:numFmt numFmtId="201" formatCode="0.0%"/>
    <x:numFmt numFmtId="202" formatCode="#,##0"/>
    <x:numFmt numFmtId="203" formatCode="$#,##0"/>
    <x:numFmt numFmtId="204" formatCode="0.0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97316"/>
      </x:patternFill>
    </x:fill>
    <x:fill>
      <x:patternFill patternType="solid">
        <x:fgColor rgb="E5E7EB"/>
      </x:patternFill>
    </x:fill>
    <x:fill>
      <x:patternFill patternType="solid">
        <x:fgColor rgb="F97316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5734bb7446eb" /><Relationship Type="http://schemas.openxmlformats.org/officeDocument/2006/relationships/theme" Target="/xl/theme/theme1.xml" Id="R4e9b13ab5c1e401a" /><Relationship Type="http://schemas.openxmlformats.org/officeDocument/2006/relationships/sharedStrings" Target="/xl/sharedStrings.xml" Id="Rd6cec26a8c5a4a49" /><Relationship Type="http://schemas.openxmlformats.org/officeDocument/2006/relationships/worksheet" Target="/xl/worksheets/sheet1.xml" Id="R8f9aa5af3d0f4f38" /><Relationship Type="http://schemas.openxmlformats.org/officeDocument/2006/relationships/worksheet" Target="/xl/worksheets/sheet2.xml" Id="Rad0972aa18f045bb" /><Relationship Type="http://schemas.openxmlformats.org/officeDocument/2006/relationships/worksheet" Target="/xl/worksheets/sheet3.xml" Id="R796dc00f52774350" /><Relationship Type="http://schemas.openxmlformats.org/officeDocument/2006/relationships/worksheet" Target="/xl/worksheets/sheet4.xml" Id="Rc705679694b34b67" /></Relationships>
</file>

<file path=xl/tables/table1.xml><?xml version="1.0" encoding="utf-8"?>
<x:table xmlns:x="http://schemas.openxmlformats.org/spreadsheetml/2006/main" id="1" name="DetalleProductosGoldbox" displayName="DetalleProductosGoldbox" ref="A1:AC11" headerRowCount="1">
  <x:tableColumns count="29">
    <x:tableColumn id="1" name="#"/>
    <x:tableColumn id="2" name="ID producto"/>
    <x:tableColumn id="3" name="Nombre producto"/>
    <x:tableColumn id="4" name="SKU"/>
    <x:tableColumn id="5" name="Categoría"/>
    <x:tableColumn id="6" name="Tipo producto"/>
    <x:tableColumn id="7" name="Precio proveedor"/>
    <x:tableColumn id="8" name="Precio sugerido"/>
    <x:tableColumn id="9" name="Diferencia precio"/>
    <x:tableColumn id="10" name="% diferencia"/>
    <x:tableColumn id="11" name="Stock público"/>
    <x:tableColumn id="12" name="Stock privado"/>
    <x:tableColumn id="13" name="Disponible en"/>
    <x:tableColumn id="14" name="Bodega"/>
    <x:tableColumn id="15" name="Proveedor"/>
    <x:tableColumn id="16" name="Etiqueta"/>
    <x:tableColumn id="17" name="Imágenes visibles"/>
    <x:tableColumn id="18" name="Tiene descripción"/>
    <x:tableColumn id="19" name="Descripción excede screenshot"/>
    <x:tableColumn id="20" name="Scroll requerido"/>
    <x:tableColumn id="21" name="Tipo descripción visible"/>
    <x:tableColumn id="22" name="Beneficios visibles"/>
    <x:tableColumn id="23" name="Modo de uso visible"/>
    <x:tableColumn id="24" name="Especificaciones visibles"/>
    <x:tableColumn id="25" name="Garantías"/>
    <x:tableColumn id="26" name="Recursos adicionales"/>
    <x:tableColumn id="27" name="Texto genérico repetido"/>
    <x:tableColumn id="28" name="Observación cruda"/>
    <x:tableColumn id="29" name="Fuente pantallazo"/>
  </x:tableColumns>
  <x:tableStyleInfo name="TableStyleMedium2" showRowStripes="1"/>
</x:table>
</file>

<file path=xl/tables/table2.xml><?xml version="1.0" encoding="utf-8"?>
<x:table xmlns:x="http://schemas.openxmlformats.org/spreadsheetml/2006/main" id="2" name="CatalogoVisibleGoldbox" displayName="CatalogoVisibleGoldbox" ref="A1:J101" headerRowCount="1">
  <x:tableColumns count="10">
    <x:tableColumn id="1" name="#"/>
    <x:tableColumn id="2" name="Nombre producto"/>
    <x:tableColumn id="3" name="Categoría visible"/>
    <x:tableColumn id="4" name="Precio proveedor"/>
    <x:tableColumn id="5" name="Precio sugerido"/>
    <x:tableColumn id="6" name="Stock visible"/>
    <x:tableColumn id="7" name="Etiqueta visible"/>
    <x:tableColumn id="8" name="Proveedor"/>
    <x:tableColumn id="9" name="Fuente pantallazo"/>
    <x:tableColumn id="10" name="Notas crudas"/>
  </x:tableColumns>
  <x:tableStyleInfo name="TableStyleMedium2" showRowStripes="1"/>
</x:table>
</file>

<file path=xl/tables/table3.xml><?xml version="1.0" encoding="utf-8"?>
<x:table xmlns:x="http://schemas.openxmlformats.org/spreadsheetml/2006/main" id="3" name="DiccionarioVariables" displayName="DiccionarioVariables" ref="A1:C15" headerRowCount="1">
  <x:tableColumns count="3">
    <x:tableColumn id="1" name="Campo"/>
    <x:tableColumn id="2" name="Definición"/>
    <x:tableColumn id="3" name="Valores esperados / ejempl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093a416e4446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770f7114de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795a2582c74bff" /></Relationships>
</file>

<file path=xl/worksheets/sheet1.xml><?xml version="1.0" encoding="utf-8"?>
<x:worksheet xmlns:x="http://schemas.openxmlformats.org/spreadsheetml/2006/main">
  <x:sheetFormatPr defaultRowHeight="15"/>
  <x:cols>
    <x:col min="1" max="1" width="51.13999938964844" hidden="0" customWidth="1"/>
    <x:col min="2" max="2" width="37.279998779296875" hidden="0" customWidth="1"/>
    <x:col min="3" max="3" width="27.729999542236328" hidden="0" customWidth="1"/>
  </x:cols>
  <x:sheetData>
    <x:row r="1">
      <x:c r="A1" s="5" t="str">
        <x:v>Investigación Inteligencia de Catálogo · GOLDBOX</x:v>
      </x:c>
      <x:c r="B1" t="str"/>
      <x:c r="C1" t="str"/>
      <x:c r="D1" t="str"/>
      <x:c r="E1" t="str"/>
      <x:c r="F1" t="str"/>
      <x:c r="G1" t="str"/>
      <x:c r="H1" t="str"/>
    </x:row>
    <x:row r="3">
      <x:c r="A3" s="14" t="str">
        <x:v>Campo</x:v>
      </x:c>
      <x:c r="B3" s="14" t="str">
        <x:v>Valor visible / registrado</x:v>
      </x:c>
      <x:c r="C3" s="14" t="str">
        <x:v>Fuente</x:v>
      </x:c>
    </x:row>
    <x:row r="4">
      <x:c r="A4" s="24" t="str">
        <x:v>Supplier</x:v>
      </x:c>
      <x:c r="B4" s="30" t="str">
        <x:v>GOLDBOX</x:v>
      </x:c>
      <x:c r="C4" t="str">
        <x:v>Pantallazo perfil</x:v>
      </x:c>
    </x:row>
    <x:row r="5">
      <x:c r="A5" s="24" t="str">
        <x:v>En Dropi desde</x:v>
      </x:c>
      <x:c r="B5" s="30" t="str">
        <x:v>20/04/2024</x:v>
      </x:c>
      <x:c r="C5" t="str">
        <x:v>Pantallazo perfil</x:v>
      </x:c>
    </x:row>
    <x:row r="6">
      <x:c r="A6" s="24" t="str">
        <x:v>Últ. conexión</x:v>
      </x:c>
      <x:c r="B6" s="30" t="str">
        <x:v>Hoy</x:v>
      </x:c>
      <x:c r="C6" t="str">
        <x:v>Pantallazo perfil</x:v>
      </x:c>
    </x:row>
    <x:row r="7">
      <x:c r="A7" s="24" t="str">
        <x:v>Productos visibles en perfil</x:v>
      </x:c>
      <x:c r="B7" s="30" t="n">
        <x:v>620</x:v>
      </x:c>
      <x:c r="C7" t="str">
        <x:v>Pantallazo perfil</x:v>
      </x:c>
    </x:row>
    <x:row r="8">
      <x:c r="A8" s="24" t="str">
        <x:v>Cantidad productos base enviada</x:v>
      </x:c>
      <x:c r="B8" s="30" t="n">
        <x:v>627</x:v>
      </x:c>
      <x:c r="C8" t="str">
        <x:v>Lista manual enviada por Jaime</x:v>
      </x:c>
    </x:row>
    <x:row r="9">
      <x:c r="A9" s="24" t="str">
        <x:v>Órdenes</x:v>
      </x:c>
      <x:c r="B9" s="30" t="n">
        <x:v>668159</x:v>
      </x:c>
      <x:c r="C9" t="str">
        <x:v>Pantallazo perfil</x:v>
      </x:c>
    </x:row>
    <x:row r="10">
      <x:c r="A10" s="24" t="str">
        <x:v>Dropshippers</x:v>
      </x:c>
      <x:c r="B10" s="30" t="n">
        <x:v>4683</x:v>
      </x:c>
      <x:c r="C10" t="str">
        <x:v>Pantallazo perfil</x:v>
      </x:c>
    </x:row>
    <x:row r="11">
      <x:c r="A11" s="24" t="str">
        <x:v>T. despacho</x:v>
      </x:c>
      <x:c r="B11" s="30" t="str">
        <x:v>5 h</x:v>
      </x:c>
      <x:c r="C11" t="str">
        <x:v>Pantallazo perfil</x:v>
      </x:c>
    </x:row>
    <x:row r="12">
      <x:c r="A12" s="24" t="str">
        <x:v>Bodega visible</x:v>
      </x:c>
      <x:c r="B12" s="30" t="str">
        <x:v>Bogotá / BOGOTA</x:v>
      </x:c>
      <x:c r="C12" t="str">
        <x:v>Pantallazo perfil y detalle producto</x:v>
      </x:c>
    </x:row>
    <x:row r="13">
      <x:c r="A13" s="24" t="str">
        <x:v>Calificación últimos 30 días</x:v>
      </x:c>
      <x:c r="B13" s="30" t="str">
        <x:v>Óptima: Envía rápido, cumple y responde bien.</x:v>
      </x:c>
      <x:c r="C13" t="str">
        <x:v>Pantallazo perfil</x:v>
      </x:c>
    </x:row>
    <x:row r="14">
      <x:c r="A14" s="24" t="str">
        <x:v>Despachos</x:v>
      </x:c>
      <x:c r="B14" s="30" t="str">
        <x:v>Envía rápido y sin demoras</x:v>
      </x:c>
      <x:c r="C14" t="str">
        <x:v>Pantallazo perfil</x:v>
      </x:c>
    </x:row>
    <x:row r="15">
      <x:c r="A15" s="24" t="str">
        <x:v>Cumplimiento</x:v>
      </x:c>
      <x:c r="B15" s="30" t="str">
        <x:v>Pocos rechazos y cancelaciones</x:v>
      </x:c>
      <x:c r="C15" t="str">
        <x:v>Pantallazo perfil</x:v>
      </x:c>
    </x:row>
    <x:row r="16">
      <x:c r="A16" s="24" t="str">
        <x:v>Postventa</x:v>
      </x:c>
      <x:c r="B16" s="30" t="str">
        <x:v>Muy pocos reclamos y atención rápida</x:v>
      </x:c>
      <x:c r="C16" t="str">
        <x:v>Pantallazo perfil</x:v>
      </x:c>
    </x:row>
    <x:row r="17">
      <x:c r="A17" s="24" t="str">
        <x:v>Categorías visibles en catálogo general</x:v>
      </x:c>
      <x:c r="B17" s="30" t="str">
        <x:v>Belleza; Salud; Hogar; Mascotas</x:v>
      </x:c>
      <x:c r="C17" t="str">
        <x:v>Pantallazos catálogo visible</x:v>
      </x:c>
    </x:row>
    <x:row r="18">
      <x:c r="A18" s="24" t="str">
        <x:v>Fecha de última actualización del archivo</x:v>
      </x:c>
      <x:c r="B18" s="30" t="str">
        <x:v>2026-05-28 18:53</x:v>
      </x:c>
      <x:c r="C18" t="str">
        <x:v>Sistema</x:v>
      </x:c>
    </x:row>
    <x:row r="19">
      <x:c r="A19" s="58" t="str">
        <x:v>Productos detalle analizados</x:v>
      </x:c>
      <x:c r="B19" t="n">
        <x:v>7</x:v>
      </x:c>
      <x:c r="C19" t="str">
        <x:v>Hoja 01_Detalle_productos</x:v>
      </x:c>
    </x:row>
    <x:row r="20">
      <x:c r="A20"/>
      <x:c r="B20"/>
      <x:c r="C2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4" hidden="0" customWidth="1"/>
    <x:col min="4" max="4" width="10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4" hidden="0" customWidth="1"/>
    <x:col min="18" max="18" width="14" hidden="0" customWidth="1"/>
    <x:col min="19" max="19" width="18" hidden="0" customWidth="1"/>
    <x:col min="20" max="20" width="14" hidden="0" customWidth="1"/>
    <x:col min="21" max="21" width="28" hidden="0" customWidth="1"/>
    <x:col min="22" max="22" width="18" hidden="0" customWidth="1"/>
    <x:col min="23" max="23" width="18" hidden="0" customWidth="1"/>
    <x:col min="24" max="24" width="22" hidden="0" customWidth="1"/>
    <x:col min="25" max="25" width="22" hidden="0" customWidth="1"/>
    <x:col min="26" max="26" width="22" hidden="0" customWidth="1"/>
    <x:col min="27" max="27" width="18" hidden="0" customWidth="1"/>
    <x:col min="28" max="28" width="42" hidden="0" customWidth="1"/>
    <x:col min="29" max="29" width="24" hidden="0" customWidth="1"/>
  </x:cols>
  <x:sheetData>
    <x:row r="1">
      <x:c r="A1" s="60" t="str">
        <x:v>#</x:v>
      </x:c>
      <x:c r="B1" s="60" t="str">
        <x:v>ID producto</x:v>
      </x:c>
      <x:c r="C1" s="60" t="str">
        <x:v>Nombre producto</x:v>
      </x:c>
      <x:c r="D1" s="60" t="str">
        <x:v>SKU</x:v>
      </x:c>
      <x:c r="E1" s="60" t="str">
        <x:v>Categoría</x:v>
      </x:c>
      <x:c r="F1" s="60" t="str">
        <x:v>Tipo producto</x:v>
      </x:c>
      <x:c r="G1" s="60" t="str">
        <x:v>Precio proveedor</x:v>
      </x:c>
      <x:c r="H1" s="60" t="str">
        <x:v>Precio sugerido</x:v>
      </x:c>
      <x:c r="I1" s="60" t="str">
        <x:v>Diferencia precio</x:v>
      </x:c>
      <x:c r="J1" s="60" t="str">
        <x:v>% diferencia</x:v>
      </x:c>
      <x:c r="K1" s="60" t="str">
        <x:v>Stock público</x:v>
      </x:c>
      <x:c r="L1" s="60" t="str">
        <x:v>Stock privado</x:v>
      </x:c>
      <x:c r="M1" s="60" t="str">
        <x:v>Disponible en</x:v>
      </x:c>
      <x:c r="N1" s="60" t="str">
        <x:v>Bodega</x:v>
      </x:c>
      <x:c r="O1" s="60" t="str">
        <x:v>Proveedor</x:v>
      </x:c>
      <x:c r="P1" s="60" t="str">
        <x:v>Etiqueta</x:v>
      </x:c>
      <x:c r="Q1" s="60" t="str">
        <x:v>Imágenes visibles</x:v>
      </x:c>
      <x:c r="R1" s="60" t="str">
        <x:v>Tiene descripción</x:v>
      </x:c>
      <x:c r="S1" s="60" t="str">
        <x:v>Descripción excede screenshot</x:v>
      </x:c>
      <x:c r="T1" s="60" t="str">
        <x:v>Scroll requerido</x:v>
      </x:c>
      <x:c r="U1" s="60" t="str">
        <x:v>Tipo descripción visible</x:v>
      </x:c>
      <x:c r="V1" s="60" t="str">
        <x:v>Beneficios visibles</x:v>
      </x:c>
      <x:c r="W1" s="60" t="str">
        <x:v>Modo de uso visible</x:v>
      </x:c>
      <x:c r="X1" s="60" t="str">
        <x:v>Especificaciones visibles</x:v>
      </x:c>
      <x:c r="Y1" s="60" t="str">
        <x:v>Garantías</x:v>
      </x:c>
      <x:c r="Z1" s="60" t="str">
        <x:v>Recursos adicionales</x:v>
      </x:c>
      <x:c r="AA1" s="60" t="str">
        <x:v>Texto genérico repetido</x:v>
      </x:c>
      <x:c r="AB1" s="60" t="str">
        <x:v>Observación cruda</x:v>
      </x:c>
      <x:c r="AC1" s="60" t="str">
        <x:v>Fuente pantallazo</x:v>
      </x:c>
    </x:row>
    <x:row r="2">
      <x:c r="A2" s="51" t="n">
        <x:v>1</x:v>
      </x:c>
      <x:c r="B2" s="51" t="n">
        <x:v>1976411</x:v>
      </x:c>
      <x:c r="C2" s="51" t="str">
        <x:v>Lemme Burn</x:v>
      </x:c>
      <x:c r="D2" s="51" t="str">
        <x:v>1</x:v>
      </x:c>
      <x:c r="E2" s="51" t="str">
        <x:v>Belleza</x:v>
      </x:c>
      <x:c r="F2" s="51" t="str">
        <x:v>Simple</x:v>
      </x:c>
      <x:c r="G2" s="55" t="n">
        <x:v>18000</x:v>
      </x:c>
      <x:c r="H2" s="55" t="n">
        <x:v>30000</x:v>
      </x:c>
      <x:c r="I2" s="55" t="n">
        <x:f>H2-G2</x:f>
        <x:v>12000</x:v>
      </x:c>
      <x:c r="J2" s="56" t="n">
        <x:f>IFERROR(I2/G2,"")</x:f>
        <x:v>0.6666666666666666</x:v>
      </x:c>
      <x:c r="K2" s="54" t="n">
        <x:v>17664</x:v>
      </x:c>
      <x:c r="L2" s="54" t="n">
        <x:v>0</x:v>
      </x:c>
      <x:c r="M2" s="51" t="str">
        <x:v>Bogota</x:v>
      </x:c>
      <x:c r="N2" s="51" t="str">
        <x:v>BOGOTA</x:v>
      </x:c>
      <x:c r="O2" s="51" t="str">
        <x:v>GOLDBOX</x:v>
      </x:c>
      <x:c r="P2" s="51" t="str">
        <x:v>Premium</x:v>
      </x:c>
      <x:c r="Q2" s="51" t="n">
        <x:v>3</x:v>
      </x:c>
      <x:c r="R2" s="51" t="str">
        <x:v>Sí</x:v>
      </x:c>
      <x:c r="S2" s="51" t="str">
        <x:v>Sí</x:v>
      </x:c>
      <x:c r="T2" s="51" t="str">
        <x:v>Sí</x:v>
      </x:c>
      <x:c r="U2" s="51" t="str">
        <x:v>Genérica proveedor + garantías</x:v>
      </x:c>
      <x:c r="V2" s="51" t="str">
        <x:v>No visible en screenshot</x:v>
      </x:c>
      <x:c r="W2" s="51" t="str">
        <x:v>No visible en screenshot</x:v>
      </x:c>
      <x:c r="X2" s="51" t="str">
        <x:v>No visible en screenshot</x:v>
      </x:c>
      <x:c r="Y2" s="51" t="str">
        <x:v>Sí</x:v>
      </x:c>
      <x:c r="Z2" s="51" t="str">
        <x:v>Pestaña visible, no abierta</x:v>
      </x:c>
      <x:c r="AA2" s="51" t="str">
        <x:v>Sí</x:v>
      </x:c>
      <x:c r="AB2" s="51" t="str">
        <x:v>Texto visible: Precio exclusivo comunidad; descuentos; producto genérico; devoluciones y garantías.</x:v>
      </x:c>
      <x:c r="AC2" s="51" t="str">
        <x:v>Captura 2026-05-28 11.08.20</x:v>
      </x:c>
    </x:row>
    <x:row r="3">
      <x:c r="A3" s="51" t="n">
        <x:v>2</x:v>
      </x:c>
      <x:c r="B3" s="51" t="n">
        <x:v>793971</x:v>
      </x:c>
      <x:c r="C3" s="51" t="str">
        <x:v>7 Days Nails Endurecedor De Unas 2</x:v>
      </x:c>
      <x:c r="D3" s="51" t="str">
        <x:v>01</x:v>
      </x:c>
      <x:c r="E3" s="51" t="str">
        <x:v>Belleza</x:v>
      </x:c>
      <x:c r="F3" s="51" t="str">
        <x:v>Simple</x:v>
      </x:c>
      <x:c r="G3" s="55" t="n">
        <x:v>12000</x:v>
      </x:c>
      <x:c r="H3" s="55" t="n">
        <x:v>29900</x:v>
      </x:c>
      <x:c r="I3" s="55" t="n">
        <x:f>H3-G3</x:f>
        <x:v>17900</x:v>
      </x:c>
      <x:c r="J3" s="56" t="n">
        <x:f>IFERROR(I3/G3,"")</x:f>
        <x:v>1.4916666666666667</x:v>
      </x:c>
      <x:c r="K3" s="54" t="n">
        <x:v>56088</x:v>
      </x:c>
      <x:c r="L3" s="54" t="n">
        <x:v>0</x:v>
      </x:c>
      <x:c r="M3" s="51" t="str">
        <x:v>Bogota</x:v>
      </x:c>
      <x:c r="N3" s="51" t="str">
        <x:v>BOGOTA</x:v>
      </x:c>
      <x:c r="O3" s="51" t="str">
        <x:v>GOLDBOX</x:v>
      </x:c>
      <x:c r="P3" s="51" t="str">
        <x:v>Premium</x:v>
      </x:c>
      <x:c r="Q3" s="51" t="n">
        <x:v>3</x:v>
      </x:c>
      <x:c r="R3" s="51" t="str">
        <x:v>Sí</x:v>
      </x:c>
      <x:c r="S3" s="51" t="str">
        <x:v>Sí</x:v>
      </x:c>
      <x:c r="T3" s="51" t="str">
        <x:v>Sí</x:v>
      </x:c>
      <x:c r="U3" s="51" t="str">
        <x:v>Genérica proveedor + específica producto</x:v>
      </x:c>
      <x:c r="V3" s="51" t="str">
        <x:v>Sí</x:v>
      </x:c>
      <x:c r="W3" s="51" t="str">
        <x:v>No visible en screenshot</x:v>
      </x:c>
      <x:c r="X3" s="51" t="str">
        <x:v>Contenido: 2 unidades</x:v>
      </x:c>
      <x:c r="Y3" s="51" t="str">
        <x:v>Pestaña visible, no abierta</x:v>
      </x:c>
      <x:c r="Z3" s="51" t="str">
        <x:v>Pestaña visible, no abierta</x:v>
      </x:c>
      <x:c r="AA3" s="51" t="str">
        <x:v>Sí</x:v>
      </x:c>
      <x:c r="AB3" s="51" t="str">
        <x:v>Texto visible: 7 DAYS NAILS - ENDURECEDOR DE UÑAS; contenido 2 unidades; crecimiento acelerado 10 días.</x:v>
      </x:c>
      <x:c r="AC3" s="51" t="str">
        <x:v>Captura 2026-05-28 11.08.10</x:v>
      </x:c>
    </x:row>
    <x:row r="4">
      <x:c r="A4" s="51" t="n">
        <x:v>3</x:v>
      </x:c>
      <x:c r="B4" s="51" t="n">
        <x:v>159422</x:v>
      </x:c>
      <x:c r="C4" s="51" t="str">
        <x:v>Magnesium Complex X 2</x:v>
      </x:c>
      <x:c r="D4" s="51" t="str">
        <x:v>01</x:v>
      </x:c>
      <x:c r="E4" s="51" t="str">
        <x:v>Belleza</x:v>
      </x:c>
      <x:c r="F4" s="51" t="str">
        <x:v>Simple</x:v>
      </x:c>
      <x:c r="G4" s="55" t="n">
        <x:v>36000</x:v>
      </x:c>
      <x:c r="H4" s="55" t="n">
        <x:v>59900</x:v>
      </x:c>
      <x:c r="I4" s="55" t="n">
        <x:f>H4-G4</x:f>
        <x:v>23900</x:v>
      </x:c>
      <x:c r="J4" s="56" t="n">
        <x:f>IFERROR(I4/G4,"")</x:f>
        <x:v>0.6638888888888889</x:v>
      </x:c>
      <x:c r="K4" s="54" t="n">
        <x:v>55277</x:v>
      </x:c>
      <x:c r="L4" s="54" t="n">
        <x:v>0</x:v>
      </x:c>
      <x:c r="M4" s="51" t="str">
        <x:v>Bogota</x:v>
      </x:c>
      <x:c r="N4" s="51" t="str">
        <x:v>BOGOTA</x:v>
      </x:c>
      <x:c r="O4" s="51" t="str">
        <x:v>GOLDBOX</x:v>
      </x:c>
      <x:c r="P4" s="51" t="str">
        <x:v>Premium</x:v>
      </x:c>
      <x:c r="Q4" s="51" t="n">
        <x:v>3</x:v>
      </x:c>
      <x:c r="R4" s="51" t="str">
        <x:v>Sí</x:v>
      </x:c>
      <x:c r="S4" s="51" t="str">
        <x:v>Sí</x:v>
      </x:c>
      <x:c r="T4" s="51" t="str">
        <x:v>Sí</x:v>
      </x:c>
      <x:c r="U4" s="51" t="str">
        <x:v>Genérica proveedor + específica producto</x:v>
      </x:c>
      <x:c r="V4" s="51" t="str">
        <x:v>Sí</x:v>
      </x:c>
      <x:c r="W4" s="51" t="str">
        <x:v>No visible en screenshot</x:v>
      </x:c>
      <x:c r="X4" s="51" t="str">
        <x:v>Contenido: 90 cápsulas</x:v>
      </x:c>
      <x:c r="Y4" s="51" t="str">
        <x:v>Pestaña visible, no abierta</x:v>
      </x:c>
      <x:c r="Z4" s="51" t="str">
        <x:v>Pestaña visible, no abierta</x:v>
      </x:c>
      <x:c r="AA4" s="51" t="str">
        <x:v>Sí</x:v>
      </x:c>
      <x:c r="AB4" s="51" t="str">
        <x:v>Texto visible: Precio exclusivo comunidad 16.000; descuentos; MAGNESIUM COMPLEX; Contenido: 90 cápsulas; RECUPERA TU ENERGIA Y REFUERZA TU CUERPO.</x:v>
      </x:c>
      <x:c r="AC4" s="51" t="str">
        <x:v>Captura 2026-05-28 11.08.05</x:v>
      </x:c>
    </x:row>
    <x:row r="5">
      <x:c r="A5" s="51" t="n">
        <x:v>4</x:v>
      </x:c>
      <x:c r="B5" s="51" t="n">
        <x:v>1929832</x:v>
      </x:c>
      <x:c r="C5" s="51" t="str">
        <x:v>Nad Resveratrol</x:v>
      </x:c>
      <x:c r="D5" s="51" t="str">
        <x:v>1</x:v>
      </x:c>
      <x:c r="E5" s="51" t="str">
        <x:v>Belleza</x:v>
      </x:c>
      <x:c r="F5" s="51" t="str">
        <x:v>Simple</x:v>
      </x:c>
      <x:c r="G5" s="55" t="n">
        <x:v>23000</x:v>
      </x:c>
      <x:c r="H5" s="55" t="n">
        <x:v>30000</x:v>
      </x:c>
      <x:c r="I5" s="55" t="n">
        <x:f>H5-G5</x:f>
        <x:v>7000</x:v>
      </x:c>
      <x:c r="J5" s="56" t="n">
        <x:f>IFERROR(I5/G5,"")</x:f>
        <x:v>0.30434782608695654</x:v>
      </x:c>
      <x:c r="K5" s="54" t="n">
        <x:v>34117</x:v>
      </x:c>
      <x:c r="L5" s="54" t="n">
        <x:v>0</x:v>
      </x:c>
      <x:c r="M5" s="51" t="str">
        <x:v>Bogota</x:v>
      </x:c>
      <x:c r="N5" s="51" t="str">
        <x:v>BOGOTA</x:v>
      </x:c>
      <x:c r="O5" s="51" t="str">
        <x:v>GOLDBOX</x:v>
      </x:c>
      <x:c r="P5" s="51" t="str">
        <x:v>Premium</x:v>
      </x:c>
      <x:c r="Q5" s="51" t="n">
        <x:v>1</x:v>
      </x:c>
      <x:c r="R5" s="51" t="str">
        <x:v>No</x:v>
      </x:c>
      <x:c r="S5" s="51" t="str">
        <x:v>No</x:v>
      </x:c>
      <x:c r="T5" s="51" t="str">
        <x:v>No</x:v>
      </x:c>
      <x:c r="U5" s="51" t="str">
        <x:v>Sin descripción</x:v>
      </x:c>
      <x:c r="V5" s="51" t="str">
        <x:v>No</x:v>
      </x:c>
      <x:c r="W5" s="51" t="str">
        <x:v>No</x:v>
      </x:c>
      <x:c r="X5" s="51" t="str">
        <x:v>No</x:v>
      </x:c>
      <x:c r="Y5" s="51" t="str">
        <x:v>Pestaña visible, no abierta</x:v>
      </x:c>
      <x:c r="Z5" s="51" t="str">
        <x:v>Pestaña visible, no abierta</x:v>
      </x:c>
      <x:c r="AA5" s="51" t="str">
        <x:v>No</x:v>
      </x:c>
      <x:c r="AB5" s="51" t="str">
        <x:v>Texto visible: No hay descripción disponible para este producto.</x:v>
      </x:c>
      <x:c r="AC5" s="51" t="str">
        <x:v>Captura 2026-05-28 11.07.45</x:v>
      </x:c>
    </x:row>
    <x:row r="6">
      <x:c r="A6" s="51" t="n">
        <x:v>5</x:v>
      </x:c>
      <x:c r="B6" s="51" t="n">
        <x:v>2161722</x:v>
      </x:c>
      <x:c r="C6" s="51" t="str">
        <x:v>Soft Serve Serum Truly Dropi Cup</x:v>
      </x:c>
      <x:c r="D6" s="51" t="str">
        <x:v>1</x:v>
      </x:c>
      <x:c r="E6" s="51" t="str">
        <x:v>Belleza</x:v>
      </x:c>
      <x:c r="F6" s="51" t="str">
        <x:v>Simple</x:v>
      </x:c>
      <x:c r="G6" s="55" t="n">
        <x:v>12000</x:v>
      </x:c>
      <x:c r="H6" s="55" t="n">
        <x:v>20000</x:v>
      </x:c>
      <x:c r="I6" s="55" t="n">
        <x:f>H6-G6</x:f>
        <x:v>8000</x:v>
      </x:c>
      <x:c r="J6" s="56" t="n">
        <x:f>IFERROR(I6/G6,"")</x:f>
        <x:v>0.6666666666666666</x:v>
      </x:c>
      <x:c r="K6" s="54" t="n">
        <x:v>23222</x:v>
      </x:c>
      <x:c r="L6" s="54" t="n">
        <x:v>0</x:v>
      </x:c>
      <x:c r="M6" s="51" t="str">
        <x:v>Bogota</x:v>
      </x:c>
      <x:c r="N6" s="51" t="str">
        <x:v>BOGOTA</x:v>
      </x:c>
      <x:c r="O6" s="51" t="str">
        <x:v>GOLDBOX</x:v>
      </x:c>
      <x:c r="P6" s="51" t="str">
        <x:v>Premium</x:v>
      </x:c>
      <x:c r="Q6" s="51" t="n">
        <x:v>3</x:v>
      </x:c>
      <x:c r="R6" s="51" t="str">
        <x:v>Sí</x:v>
      </x:c>
      <x:c r="S6" s="51" t="str">
        <x:v>Sí</x:v>
      </x:c>
      <x:c r="T6" s="51" t="str">
        <x:v>Sí</x:v>
      </x:c>
      <x:c r="U6" s="51" t="str">
        <x:v>Genérica proveedor + específica producto</x:v>
      </x:c>
      <x:c r="V6" s="51" t="str">
        <x:v>Sí</x:v>
      </x:c>
      <x:c r="W6" s="51" t="str">
        <x:v>No visible en screenshot</x:v>
      </x:c>
      <x:c r="X6" s="51" t="str">
        <x:v>No visible en screenshot</x:v>
      </x:c>
      <x:c r="Y6" s="51" t="str">
        <x:v>Pestaña visible, no abierta</x:v>
      </x:c>
      <x:c r="Z6" s="51" t="str">
        <x:v>Pestaña visible, no abierta</x:v>
      </x:c>
      <x:c r="AA6" s="51" t="str">
        <x:v>Sí</x:v>
      </x:c>
      <x:c r="AB6" s="51" t="str">
        <x:v>Texto visible: Precio exclusivo comunidad 10.000; SOFT SERVE SERUM TRULY - REFRESCA, CALMA Y RENUEVA TU PIEL; fórmula ligera; composición hidrosoluble.</x:v>
      </x:c>
      <x:c r="AC6" s="51" t="str">
        <x:v>Captura 2026-05-28 11.07.50</x:v>
      </x:c>
    </x:row>
    <x:row r="7">
      <x:c r="A7" s="51" t="n">
        <x:v>6</x:v>
      </x:c>
      <x:c r="B7" s="51" t="n">
        <x:v>2138336</x:v>
      </x:c>
      <x:c r="C7" s="51" t="str">
        <x:v>Lutein Zeaxanthin Gummies</x:v>
      </x:c>
      <x:c r="D7" s="51" t="str">
        <x:v>1</x:v>
      </x:c>
      <x:c r="E7" s="51" t="str">
        <x:v>Belleza</x:v>
      </x:c>
      <x:c r="F7" s="51" t="str">
        <x:v>Simple</x:v>
      </x:c>
      <x:c r="G7" s="55" t="n">
        <x:v>23000</x:v>
      </x:c>
      <x:c r="H7" s="55" t="n">
        <x:v>30000</x:v>
      </x:c>
      <x:c r="I7" s="55" t="n">
        <x:f>H7-G7</x:f>
        <x:v>7000</x:v>
      </x:c>
      <x:c r="J7" s="56" t="n">
        <x:f>IFERROR(I7/G7,"")</x:f>
        <x:v>0.30434782608695654</x:v>
      </x:c>
      <x:c r="K7" s="54" t="n">
        <x:v>34261</x:v>
      </x:c>
      <x:c r="L7" s="54" t="n">
        <x:v>0</x:v>
      </x:c>
      <x:c r="M7" s="51" t="str">
        <x:v>Bogota</x:v>
      </x:c>
      <x:c r="N7" s="51" t="str">
        <x:v>BOGOTA</x:v>
      </x:c>
      <x:c r="O7" s="51" t="str">
        <x:v>GOLDBOX</x:v>
      </x:c>
      <x:c r="P7" s="51" t="str">
        <x:v>Premium</x:v>
      </x:c>
      <x:c r="Q7" s="51" t="n">
        <x:v>3</x:v>
      </x:c>
      <x:c r="R7" s="51" t="str">
        <x:v>Sí</x:v>
      </x:c>
      <x:c r="S7" s="51" t="str">
        <x:v>No</x:v>
      </x:c>
      <x:c r="T7" s="51" t="str">
        <x:v>No</x:v>
      </x:c>
      <x:c r="U7" s="51" t="str">
        <x:v>Genérica proveedor</x:v>
      </x:c>
      <x:c r="V7" s="51" t="str">
        <x:v>No visible en screenshot</x:v>
      </x:c>
      <x:c r="W7" s="51" t="str">
        <x:v>No visible en screenshot</x:v>
      </x:c>
      <x:c r="X7" s="51" t="str">
        <x:v>No visible en screenshot</x:v>
      </x:c>
      <x:c r="Y7" s="51" t="str">
        <x:v>Pestaña visible, no abierta</x:v>
      </x:c>
      <x:c r="Z7" s="51" t="str">
        <x:v>Pestaña visible, no abierta</x:v>
      </x:c>
      <x:c r="AA7" s="51" t="str">
        <x:v>Sí</x:v>
      </x:c>
      <x:c r="AB7" s="51" t="str">
        <x:v>Texto visible: Precio exclusivo comunidad 20.000; ajustes de precios al público general; descuentos especiales; precios preferenciales exclusivos; condiciones diferenciales frente al público general.</x:v>
      </x:c>
      <x:c r="AC7" s="51" t="str">
        <x:v>Captura 2026-05-28 11.07.35</x:v>
      </x:c>
    </x:row>
    <x:row r="8">
      <x:c r="A8" s="51" t="n">
        <x:v>7</x:v>
      </x:c>
      <x:c r="B8" s="51" t="n">
        <x:v>735510</x:v>
      </x:c>
      <x:c r="C8" s="51" t="str">
        <x:v>Tag Recede Eliminador De Verrugas</x:v>
      </x:c>
      <x:c r="D8" s="51" t="str">
        <x:v>1</x:v>
      </x:c>
      <x:c r="E8" s="51" t="str">
        <x:v>Belleza</x:v>
      </x:c>
      <x:c r="F8" s="51" t="str">
        <x:v>Simple</x:v>
      </x:c>
      <x:c r="G8" s="55" t="n">
        <x:v>9000</x:v>
      </x:c>
      <x:c r="H8" s="55" t="n">
        <x:v>18500</x:v>
      </x:c>
      <x:c r="I8" s="55" t="n">
        <x:f>H8-G8</x:f>
        <x:v>9500</x:v>
      </x:c>
      <x:c r="J8" s="56" t="n">
        <x:f>IFERROR(I8/G8,"")</x:f>
        <x:v>1.0555555555555556</x:v>
      </x:c>
      <x:c r="K8" s="54" t="n">
        <x:v>5123</x:v>
      </x:c>
      <x:c r="L8" s="54" t="n">
        <x:v>0</x:v>
      </x:c>
      <x:c r="M8" s="51" t="str">
        <x:v>Bogota</x:v>
      </x:c>
      <x:c r="N8" s="51" t="str">
        <x:v>BOGOTA</x:v>
      </x:c>
      <x:c r="O8" s="51" t="str">
        <x:v>GOLDBOX</x:v>
      </x:c>
      <x:c r="P8" s="51" t="str">
        <x:v>Premium</x:v>
      </x:c>
      <x:c r="Q8" s="51" t="n">
        <x:v>3</x:v>
      </x:c>
      <x:c r="R8" s="51" t="str">
        <x:v>Sí</x:v>
      </x:c>
      <x:c r="S8" s="51" t="str">
        <x:v>Sí</x:v>
      </x:c>
      <x:c r="T8" s="51" t="str">
        <x:v>Sí</x:v>
      </x:c>
      <x:c r="U8" s="51" t="str">
        <x:v>Genérica proveedor + específica producto</x:v>
      </x:c>
      <x:c r="V8" s="51" t="str">
        <x:v>Sí</x:v>
      </x:c>
      <x:c r="W8" s="51" t="str">
        <x:v>No visible en screenshot</x:v>
      </x:c>
      <x:c r="X8" s="51" t="str">
        <x:v>Contenido neto: 60ml</x:v>
      </x:c>
      <x:c r="Y8" s="51" t="str">
        <x:v>Pestaña visible, no abierta</x:v>
      </x:c>
      <x:c r="Z8" s="51" t="str">
        <x:v>Pestaña visible, no abierta</x:v>
      </x:c>
      <x:c r="AA8" s="51" t="str">
        <x:v>Sí</x:v>
      </x:c>
      <x:c r="AB8" s="51" t="str">
        <x:v>Texto visible: Precio exclusivo comunidad 7.500; TAG RECEDE- ELIMINADOR DE VERRUGAS; Contenido neto: 60ml; Recupera la confianza en tu piel; imagen en descripción visible.</x:v>
      </x:c>
      <x:c r="AC8" s="51" t="str">
        <x:v>Captura 2026-05-28 11.07.30</x:v>
      </x:c>
    </x:row>
    <x:row r="9" ht="55" customHeight="1">
      <x:c r="A9" s="51" t="n">
        <x:v>8</x:v>
      </x:c>
      <x:c r="B9" s="51" t="n">
        <x:v>838416</x:v>
      </x:c>
      <x:c r="C9" s="51" t="str">
        <x:v>Chupa Saca Golpes Quita Abolladuras 2</x:v>
      </x:c>
      <x:c r="D9" s="51" t="str">
        <x:v>01</x:v>
      </x:c>
      <x:c r="E9" s="51" t="str">
        <x:v>Hogar</x:v>
      </x:c>
      <x:c r="F9" s="51" t="str">
        <x:v>Simple</x:v>
      </x:c>
      <x:c r="G9" s="55" t="n">
        <x:v>9500</x:v>
      </x:c>
      <x:c r="H9" s="55" t="n">
        <x:v>29990</x:v>
      </x:c>
      <x:c r="I9" s="55" t="n">
        <x:f>H9-G9</x:f>
        <x:v>20490</x:v>
      </x:c>
      <x:c r="J9" s="56" t="n">
        <x:f>IFERROR(I9/G9,0)</x:f>
        <x:v>2.156842105263158</x:v>
      </x:c>
      <x:c r="K9" s="54" t="n">
        <x:v>930</x:v>
      </x:c>
      <x:c r="L9" s="54" t="n">
        <x:v>0</x:v>
      </x:c>
      <x:c r="M9" s="51" t="str">
        <x:v>Bogota</x:v>
      </x:c>
      <x:c r="N9" s="51" t="str">
        <x:v>BOGOTA</x:v>
      </x:c>
      <x:c r="O9" s="51" t="str">
        <x:v>GOLDBOX</x:v>
      </x:c>
      <x:c r="P9" s="51" t="str">
        <x:v>Premium</x:v>
      </x:c>
      <x:c r="Q9" s="51" t="n">
        <x:v>1</x:v>
      </x:c>
      <x:c r="R9" s="51" t="str">
        <x:v>Sí</x:v>
      </x:c>
      <x:c r="S9" s="51" t="str">
        <x:v>Sí</x:v>
      </x:c>
      <x:c r="T9" s="51" t="str">
        <x:v>Sí</x:v>
      </x:c>
      <x:c r="U9" s="51" t="str">
        <x:v>Específica producto</x:v>
      </x:c>
      <x:c r="V9" s="51" t="str">
        <x:v>Sí</x:v>
      </x:c>
      <x:c r="W9" s="51" t="str">
        <x:v>No visible en screenshot</x:v>
      </x:c>
      <x:c r="X9" s="51" t="str">
        <x:v>2 unidades</x:v>
      </x:c>
      <x:c r="Y9" s="51" t="str">
        <x:v>Pestaña visible, no abierta</x:v>
      </x:c>
      <x:c r="Z9" s="51" t="str">
        <x:v>Pestaña visible, no abierta</x:v>
      </x:c>
      <x:c r="AA9" s="51" t="str">
        <x:v>No</x:v>
      </x:c>
      <x:c r="AB9" s="51" t="str">
        <x:v>Texto visible: 2 unidades; descripción de uso para abolladuras, pantallas de teléfonos, vidrios, cerámicas, espejos, puertas con superficies lisas; imágenes visibles dentro de la descripción.</x:v>
      </x:c>
      <x:c r="AC9" s="51" t="str">
        <x:v>Captura 2026-05-28 11.06.37</x:v>
      </x:c>
    </x:row>
    <x:row r="10" ht="55" customHeight="1">
      <x:c r="A10" s="51" t="n">
        <x:v>9</x:v>
      </x:c>
      <x:c r="B10" s="51" t="n">
        <x:v>2152926</x:v>
      </x:c>
      <x:c r="C10" s="51" t="str">
        <x:v>Virex Capsula</x:v>
      </x:c>
      <x:c r="D10" s="51" t="str">
        <x:v>1</x:v>
      </x:c>
      <x:c r="E10" s="51" t="str">
        <x:v>Belleza</x:v>
      </x:c>
      <x:c r="F10" s="51" t="str">
        <x:v>Simple</x:v>
      </x:c>
      <x:c r="G10" s="55" t="n">
        <x:v>20000</x:v>
      </x:c>
      <x:c r="H10" s="55" t="n">
        <x:v>30000</x:v>
      </x:c>
      <x:c r="I10" s="55" t="n">
        <x:f>H10-G10</x:f>
        <x:v>10000</x:v>
      </x:c>
      <x:c r="J10" s="56" t="n">
        <x:f>IFERROR(I10/G10,0)</x:f>
        <x:v>0.5</x:v>
      </x:c>
      <x:c r="K10" s="54" t="n">
        <x:v>34322</x:v>
      </x:c>
      <x:c r="L10" s="54" t="n">
        <x:v>0</x:v>
      </x:c>
      <x:c r="M10" s="51" t="str">
        <x:v>Bogota</x:v>
      </x:c>
      <x:c r="N10" s="51" t="str">
        <x:v>BOGOTA</x:v>
      </x:c>
      <x:c r="O10" s="51" t="str">
        <x:v>GOLDBOX</x:v>
      </x:c>
      <x:c r="P10" s="51" t="str">
        <x:v>Premium</x:v>
      </x:c>
      <x:c r="Q10" s="51" t="n">
        <x:v>3</x:v>
      </x:c>
      <x:c r="R10" s="51" t="str">
        <x:v>Sí</x:v>
      </x:c>
      <x:c r="S10" s="51" t="str">
        <x:v>No</x:v>
      </x:c>
      <x:c r="T10" s="51" t="str">
        <x:v>No</x:v>
      </x:c>
      <x:c r="U10" s="51" t="str">
        <x:v>Genérica proveedor</x:v>
      </x:c>
      <x:c r="V10" s="51" t="str">
        <x:v>No visible en screenshot</x:v>
      </x:c>
      <x:c r="W10" s="51" t="str">
        <x:v>No visible en screenshot</x:v>
      </x:c>
      <x:c r="X10" s="51" t="str">
        <x:v>No visible en screenshot</x:v>
      </x:c>
      <x:c r="Y10" s="51" t="str">
        <x:v>Pestaña visible, no abierta</x:v>
      </x:c>
      <x:c r="Z10" s="51" t="str">
        <x:v>Pestaña visible, no abierta</x:v>
      </x:c>
      <x:c r="AA10" s="51" t="str">
        <x:v>Sí</x:v>
      </x:c>
      <x:c r="AB10" s="51" t="str">
        <x:v>Texto visible: Precio exclusivo comunidad 18.000; ajustes de precios al público general; descuentos especiales; precios preferenciales exclusivos; condiciones diferenciales frente al público general; contacto +57 3103217338.</x:v>
      </x:c>
      <x:c r="AC10" s="51" t="str">
        <x:v>Captura 2026-05-28 11.06.23</x:v>
      </x:c>
    </x:row>
    <x:row r="11">
      <x:c r="A11" s="51" t="n">
        <x:v>10</x:v>
      </x:c>
      <x:c r="B11" s="51" t="n">
        <x:v>1728002</x:v>
      </x:c>
      <x:c r="C11" s="51" t="str">
        <x:v>Iron Seal Reparacion Color Negro</x:v>
      </x:c>
      <x:c r="D11" s="51" t="str">
        <x:v>01</x:v>
      </x:c>
      <x:c r="E11" s="51" t="str">
        <x:v>Hogar</x:v>
      </x:c>
      <x:c r="F11" s="51" t="str">
        <x:v>Simple</x:v>
      </x:c>
      <x:c r="G11" s="55" t="n">
        <x:v>15000</x:v>
      </x:c>
      <x:c r="H11" s="55" t="n">
        <x:v>30000</x:v>
      </x:c>
      <x:c r="I11" s="55" t="n">
        <x:v>15000</x:v>
      </x:c>
      <x:c r="J11" s="56" t="n">
        <x:v>1</x:v>
      </x:c>
      <x:c r="K11" s="54" t="n">
        <x:v>34684</x:v>
      </x:c>
      <x:c r="L11" s="54" t="n">
        <x:v>0</x:v>
      </x:c>
      <x:c r="M11" s="51" t="str">
        <x:v>Bogota</x:v>
      </x:c>
      <x:c r="N11" s="51" t="str">
        <x:v>BOGOTA</x:v>
      </x:c>
      <x:c r="O11" s="51" t="str">
        <x:v>GOLDBOX</x:v>
      </x:c>
      <x:c r="P11" s="51" t="str">
        <x:v>Premium</x:v>
      </x:c>
      <x:c r="Q11" s="51" t="n">
        <x:v>3</x:v>
      </x:c>
      <x:c r="R11" s="51" t="str">
        <x:v>Sí</x:v>
      </x:c>
      <x:c r="S11" s="51" t="str">
        <x:v>Sí</x:v>
      </x:c>
      <x:c r="T11" s="51" t="str">
        <x:v>Sí</x:v>
      </x:c>
      <x:c r="U11" s="51" t="str">
        <x:v>Genérica proveedor + específica producto</x:v>
      </x:c>
      <x:c r="V11" s="51" t="str">
        <x:v>Sí</x:v>
      </x:c>
      <x:c r="W11" s="51" t="str">
        <x:v>No visible en screenshot</x:v>
      </x:c>
      <x:c r="X11" s="51" t="str">
        <x:v>Base acuosa y ecológico</x:v>
      </x:c>
      <x:c r="Y11" s="51" t="str">
        <x:v>Pestaña visible, no abierta</x:v>
      </x:c>
      <x:c r="Z11" s="51" t="str">
        <x:v>Pestaña visible, no abierta</x:v>
      </x:c>
      <x:c r="AA11" s="51" t="str">
        <x:v>Sí</x:v>
      </x:c>
      <x:c r="AB11" s="51" t="str">
        <x:v>Texto visible: Precio exclusivo comunidad 12.500; IRON SEAL - PODER ANTIOXIDANTE QUE TRANSFORMA EL METAL; óxido, manchas o metal envejecido; sellante y convertidor de óxido base acuosa y ecológico.</x:v>
      </x:c>
      <x:c r="AC11" s="51" t="str">
        <x:v>Captura 2026-05-28 13.56.12</x:v>
      </x:c>
    </x:row>
  </x:sheetData>
  <x:dataValidations count="5">
    <x:dataValidation type="list" sqref="R2:T100">
      <x:formula1>"Sí,No,No visible en screenshot,Pestaña visible, no abierta"</x:formula1>
    </x:dataValidation>
    <x:dataValidation type="list" sqref="V2:W100">
      <x:formula1>"Sí,No,No visible en screenshot,Pestaña visible, no abierta"</x:formula1>
    </x:dataValidation>
    <x:dataValidation type="list" sqref="AA2:AA100">
      <x:formula1>"Sí,No,No visible en screenshot,Pestaña visible, no abierta"</x:formula1>
    </x:dataValidation>
    <x:dataValidation type="list" sqref="E2:E100">
      <x:formula1>"Belleza,Salud,Hogar,Mascotas,Otra,No visible"</x:formula1>
    </x:dataValidation>
    <x:dataValidation type="list" sqref="F2:F100">
      <x:formula1>"Simple,Variable,No visible"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093a416e4446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</x:cols>
  <x:sheetData>
    <x:row r="1">
      <x:c r="A1" s="14" t="str">
        <x:v>#</x:v>
      </x:c>
      <x:c r="B1" s="14" t="str">
        <x:v>Nombre producto</x:v>
      </x:c>
      <x:c r="C1" s="14" t="str">
        <x:v>Categoría visible</x:v>
      </x:c>
      <x:c r="D1" s="14" t="str">
        <x:v>Precio proveedor</x:v>
      </x:c>
      <x:c r="E1" s="14" t="str">
        <x:v>Precio sugerido</x:v>
      </x:c>
      <x:c r="F1" s="14" t="str">
        <x:v>Stock visible</x:v>
      </x:c>
      <x:c r="G1" s="14" t="str">
        <x:v>Etiqueta visible</x:v>
      </x:c>
      <x:c r="H1" s="14" t="str">
        <x:v>Proveedor</x:v>
      </x:c>
      <x:c r="I1" s="14" t="str">
        <x:v>Fuente pantallazo</x:v>
      </x:c>
      <x:c r="J1" s="14" t="str">
        <x:v>Notas crudas</x:v>
      </x:c>
    </x:row>
  </x:sheetData>
  <x:pageMargins left="0.7" right="0.7" top="0.75" bottom="0.75" header="0.3" footer="0.3"/>
  <x:tableParts count="1">
    <x:tablePart xmlns:r="http://schemas.openxmlformats.org/officeDocument/2006/relationships" r:id="Rb3770f7114de48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  <x:col min="3" max="3" width="42" hidden="0" customWidth="1"/>
  </x:cols>
  <x:sheetData>
    <x:row r="1">
      <x:c r="A1" s="14" t="str">
        <x:v>Campo</x:v>
      </x:c>
      <x:c r="B1" s="14" t="str">
        <x:v>Definición</x:v>
      </x:c>
      <x:c r="C1" s="14" t="str">
        <x:v>Valores esperados / ejemplo</x:v>
      </x:c>
    </x:row>
    <x:row r="2">
      <x:c r="A2" t="str">
        <x:v>Stock público</x:v>
      </x:c>
      <x:c r="B2" t="str">
        <x:v>Stock visible para el producto en la vista de detalle.</x:v>
      </x:c>
      <x:c r="C2" t="str">
        <x:v>Número</x:v>
      </x:c>
    </x:row>
    <x:row r="3">
      <x:c r="A3" t="str">
        <x:v>Stock privado</x:v>
      </x:c>
      <x:c r="B3" t="str">
        <x:v>Stock privado visible en la vista de detalle.</x:v>
      </x:c>
      <x:c r="C3" t="str">
        <x:v>Número</x:v>
      </x:c>
    </x:row>
    <x:row r="4">
      <x:c r="A4" t="str">
        <x:v>Imágenes visibles</x:v>
      </x:c>
      <x:c r="B4" t="str">
        <x:v>Cantidad de miniaturas visibles en el carrusel del producto.</x:v>
      </x:c>
      <x:c r="C4" t="str">
        <x:v>Número</x:v>
      </x:c>
    </x:row>
    <x:row r="5">
      <x:c r="A5" t="str">
        <x:v>Tiene descripción</x:v>
      </x:c>
      <x:c r="B5" t="str">
        <x:v>Indica si hay contenido visible en la pestaña Detalles.</x:v>
      </x:c>
      <x:c r="C5" t="str">
        <x:v>Sí / No</x:v>
      </x:c>
    </x:row>
    <x:row r="6">
      <x:c r="A6" t="str">
        <x:v>Descripción excede screenshot</x:v>
      </x:c>
      <x:c r="B6" t="str">
        <x:v>Indica si el contenido continúa más allá del pantallazo visible.</x:v>
      </x:c>
      <x:c r="C6" t="str">
        <x:v>Sí / No</x:v>
      </x:c>
    </x:row>
    <x:row r="7">
      <x:c r="A7" t="str">
        <x:v>Scroll requerido</x:v>
      </x:c>
      <x:c r="B7" t="str">
        <x:v>Indica si para capturar toda la descripción se requiere desplazamiento vertical.</x:v>
      </x:c>
      <x:c r="C7" t="str">
        <x:v>Sí / No</x:v>
      </x:c>
    </x:row>
    <x:row r="8">
      <x:c r="A8" t="str">
        <x:v>Tipo descripción visible</x:v>
      </x:c>
      <x:c r="B8" t="str">
        <x:v>Tipo de contenido observado en la descripción visible.</x:v>
      </x:c>
      <x:c r="C8" t="str">
        <x:v>Específica producto / Genérica proveedor / Garantías / Mixta / Sin descripción</x:v>
      </x:c>
    </x:row>
    <x:row r="9">
      <x:c r="A9" t="str">
        <x:v>Beneficios visibles</x:v>
      </x:c>
      <x:c r="B9" t="str">
        <x:v>Indica si se observan beneficios del producto en el screenshot.</x:v>
      </x:c>
      <x:c r="C9" t="str">
        <x:v>Sí / No / No visible en screenshot</x:v>
      </x:c>
    </x:row>
    <x:row r="10">
      <x:c r="A10" t="str">
        <x:v>Modo de uso visible</x:v>
      </x:c>
      <x:c r="B10" t="str">
        <x:v>Indica si se observan instrucciones o modo de uso.</x:v>
      </x:c>
      <x:c r="C10" t="str">
        <x:v>Sí / No / No visible en screenshot</x:v>
      </x:c>
    </x:row>
    <x:row r="11">
      <x:c r="A11" t="str">
        <x:v>Especificaciones visibles</x:v>
      </x:c>
      <x:c r="B11" t="str">
        <x:v>Datos como contenido neto, unidades, material, medidas, composición u otros.</x:v>
      </x:c>
      <x:c r="C11" t="str">
        <x:v>Texto libre</x:v>
      </x:c>
    </x:row>
    <x:row r="12">
      <x:c r="A12" t="str">
        <x:v>Garantías</x:v>
      </x:c>
      <x:c r="B12" t="str">
        <x:v>Estado de visibilidad de información de garantías.</x:v>
      </x:c>
      <x:c r="C12" t="str">
        <x:v>Sí / No / Pestaña visible, no abierta</x:v>
      </x:c>
    </x:row>
    <x:row r="13">
      <x:c r="A13" t="str">
        <x:v>Recursos adicionales</x:v>
      </x:c>
      <x:c r="B13" t="str">
        <x:v>Estado de visibilidad de información adicional.</x:v>
      </x:c>
      <x:c r="C13" t="str">
        <x:v>Sí / No / Pestaña visible, no abierta</x:v>
      </x:c>
    </x:row>
    <x:row r="14">
      <x:c r="A14" t="str">
        <x:v>Texto genérico repetido</x:v>
      </x:c>
      <x:c r="B14" t="str">
        <x:v>Indica si aparece texto repetido del proveedor o de políticas generales.</x:v>
      </x:c>
      <x:c r="C14" t="str">
        <x:v>Sí / No</x:v>
      </x:c>
    </x:row>
    <x:row r="15">
      <x:c r="A15" t="str">
        <x:v>Observación cruda</x:v>
      </x:c>
      <x:c r="B15" t="str">
        <x:v>Campo libre para registrar texto visible sin interpretación.</x:v>
      </x:c>
      <x:c r="C15" t="str">
        <x:v>Texto libre</x:v>
      </x:c>
    </x:row>
  </x:sheetData>
  <x:pageMargins left="0.7" right="0.7" top="0.75" bottom="0.75" header="0.3" footer="0.3"/>
  <x:tableParts count="1">
    <x:tablePart xmlns:r="http://schemas.openxmlformats.org/officeDocument/2006/relationships" r:id="Rd4795a2582c74bff"/>
  </x:tableParts>
</x:worksheet>
</file>