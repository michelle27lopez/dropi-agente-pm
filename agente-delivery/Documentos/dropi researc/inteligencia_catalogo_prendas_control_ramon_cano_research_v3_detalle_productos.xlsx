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8462b7e7f4453a" /></Relationships>
</file>

<file path=xl/workbook.xml><?xml version="1.0" encoding="utf-8"?>
<x:workbook xmlns:x="http://schemas.openxmlformats.org/spreadsheetml/2006/main">
  <x:sheets>
    <x:sheet xmlns:r="http://schemas.openxmlformats.org/officeDocument/2006/relationships" name="Perfil supplier" sheetId="1" r:id="R19456724b14242d5"/>
    <x:sheet xmlns:r="http://schemas.openxmlformats.org/officeDocument/2006/relationships" name="Catalogo visible" sheetId="2" r:id="R07c6c91ab23c42ad"/>
    <x:sheet xmlns:r="http://schemas.openxmlformats.org/officeDocument/2006/relationships" name="Resumen categorias" sheetId="3" r:id="Rdbb332d884d244ab"/>
    <x:sheet xmlns:r="http://schemas.openxmlformats.org/officeDocument/2006/relationships" name="Detalle productos" sheetId="4" r:id="Rcffd17eea7934d99"/>
    <x:sheet xmlns:r="http://schemas.openxmlformats.org/officeDocument/2006/relationships" name="Data faltante" sheetId="5" r:id="R91cd976dc0344743"/>
    <x:sheet xmlns:r="http://schemas.openxmlformats.org/officeDocument/2006/relationships" name="Lectura PM" sheetId="6" r:id="Rfd41a7e7e90b449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quot;$&quot;#,##0"/>
  </x:numFmts>
  <x:fonts count="4">
    <x:font>
      <x:sz val="11"/>
      <x:name val="Carlito"/>
    </x:font>
    <x:font>
      <x:b/>
      <x:sz val="16"/>
      <x:color rgb="FFFFFF"/>
      <x:name val="Carlito"/>
    </x:font>
    <x:font>
      <x:b/>
      <x:sz val="11"/>
      <x:color rgb="FFFFFF"/>
      <x:name val="Carlito"/>
    </x:font>
    <x:font>
      <x:b/>
      <x:sz val="11"/>
      <x:name val="Carlito"/>
    </x:font>
  </x:fonts>
  <x:fills count="10">
    <x:fill>
      <x:patternFill patternType="none"/>
    </x:fill>
    <x:fill>
      <x:patternFill patternType="gray125"/>
    </x:fill>
    <x:fill>
      <x:patternFill patternType="solid">
        <x:fgColor rgb="F39A33"/>
      </x:patternFill>
    </x:fill>
    <x:fill>
      <x:patternFill patternType="solid">
        <x:fgColor rgb="111827"/>
      </x:patternFill>
    </x:fill>
    <x:fill>
      <x:patternFill patternType="solid">
        <x:fgColor rgb="F3F4F6"/>
      </x:patternFill>
    </x:fill>
    <x:fill>
      <x:patternFill patternType="solid">
        <x:fgColor rgb="E0F2FE"/>
      </x:patternFill>
    </x:fill>
    <x:fill>
      <x:patternFill patternType="solid">
        <x:fgColor rgb="0F172A"/>
      </x:patternFill>
    </x:fill>
    <x:fill>
      <x:patternFill patternType="solid">
        <x:fgColor rgb="7C2D12"/>
      </x:patternFill>
    </x:fill>
    <x:fill>
      <x:patternFill patternType="solid">
        <x:fgColor rgb="1F2937"/>
      </x:patternFill>
    </x:fill>
    <x:fill>
      <x:patternFill patternType="solid">
        <x:fgColor rgb="FEF3C7"/>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200" fontId="0" fillId="2" borderId="0" xfId="0" applyNumberFormat="1" applyFont="1" applyFill="1" applyBorder="1" applyAlignment="1">
      <x:alignment wrapText="1"/>
    </x:xf>
    <x:xf numFmtId="201"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200" fontId="2" fillId="2" borderId="0" xfId="0" applyNumberFormat="1" applyFont="1" applyFill="1" applyBorder="1" applyAlignment="1">
      <x:alignment wrapText="1"/>
    </x:xf>
    <x:xf numFmtId="201" fontId="2" fillId="2" borderId="0" xfId="0" applyNumberFormat="1" applyFont="1" applyFill="1" applyBorder="1" applyAlignment="1">
      <x:alignment wrapText="1"/>
    </x:xf>
    <x:xf numFmtId="0" fontId="0" fillId="2" borderId="1" xfId="0" applyNumberFormat="1" applyFont="1" applyFill="1" applyBorder="1" applyAlignment="1">
      <x:alignment wrapText="1"/>
    </x:xf>
    <x:xf numFmtId="200" fontId="0" fillId="2" borderId="1" xfId="0" applyNumberFormat="1" applyFont="1" applyFill="1" applyBorder="1" applyAlignment="1">
      <x:alignment wrapText="1"/>
    </x:xf>
    <x:xf numFmtId="201" fontId="0" fillId="2" borderId="1" xfId="0" applyNumberFormat="1" applyFont="1" applyFill="1" applyBorder="1" applyAlignment="1">
      <x:alignment wrapText="1"/>
    </x:xf>
    <x:xf numFmtId="0" fontId="2" fillId="2" borderId="1" xfId="0" applyNumberFormat="1" applyFont="1" applyFill="1" applyBorder="1" applyAlignment="1">
      <x:alignment wrapText="1"/>
    </x:xf>
    <x:xf numFmtId="200" fontId="2" fillId="2" borderId="1" xfId="0" applyNumberFormat="1" applyFont="1" applyFill="1" applyBorder="1" applyAlignment="1">
      <x:alignment wrapText="1"/>
    </x:xf>
    <x:xf numFmtId="201" fontId="2" fillId="2"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0" fillId="0" borderId="0" xfId="0" applyNumberFormat="1" applyFont="1" applyFill="1" applyBorder="1"/>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4" borderId="0" xfId="0" applyNumberFormat="1" applyFont="1" applyFill="1" applyBorder="1" applyAlignment="1">
      <x:alignment wrapText="1"/>
    </x:xf>
  </x:cellXfs>
  <x:cellStyles count="1">
    <x:cellStyle name="Normal" xfId="0"/>
  </x:cellStyles>
  <x:dxfs count="2">
    <x:dxf>
      <x:fill>
        <x:patternFill>
          <x:bgColor rgb="FEF3C7"/>
        </x:patternFill>
      </x:fill>
    </x:dxf>
    <x:dxf>
      <x:fill>
        <x:patternFill>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dec9e8d65c489b" /><Relationship Type="http://schemas.openxmlformats.org/officeDocument/2006/relationships/theme" Target="/xl/theme/theme1.xml" Id="R3443f14de3ca47b3" /><Relationship Type="http://schemas.openxmlformats.org/officeDocument/2006/relationships/sharedStrings" Target="/xl/sharedStrings.xml" Id="Rbcef5be6ba3b4162" /><Relationship Type="http://schemas.openxmlformats.org/officeDocument/2006/relationships/worksheet" Target="/xl/worksheets/sheet1.xml" Id="R19456724b14242d5" /><Relationship Type="http://schemas.openxmlformats.org/officeDocument/2006/relationships/worksheet" Target="/xl/worksheets/sheet2.xml" Id="R07c6c91ab23c42ad" /><Relationship Type="http://schemas.openxmlformats.org/officeDocument/2006/relationships/worksheet" Target="/xl/worksheets/sheet3.xml" Id="Rdbb332d884d244ab" /><Relationship Type="http://schemas.openxmlformats.org/officeDocument/2006/relationships/worksheet" Target="/xl/worksheets/sheet4.xml" Id="Rcffd17eea7934d99" /><Relationship Type="http://schemas.openxmlformats.org/officeDocument/2006/relationships/worksheet" Target="/xl/worksheets/sheet5.xml" Id="R91cd976dc0344743" /><Relationship Type="http://schemas.openxmlformats.org/officeDocument/2006/relationships/worksheet" Target="/xl/worksheets/sheet6.xml" Id="Rfd41a7e7e90b449f" /></Relationships>
</file>

<file path=xl/drawings/_rels/drawing1.xml.rels>&#65279;<?xml version="1.0" encoding="utf-8"?><Relationships xmlns="http://schemas.openxmlformats.org/package/2006/relationships"><Relationship Type="http://schemas.openxmlformats.org/officeDocument/2006/relationships/chart" Target="/xl/drawings/charts/chart1.xml" Id="Rb3a241a15f114cc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Distribución de muestra por categoría final</a:t>
            </a:r>
          </a:p>
        </c:rich>
      </c:tx>
      <c:overlay val="0"/>
    </c:title>
    <c:autoTitleDeleted val="0"/>
    <c:plotArea>
      <c:layout/>
      <c:barChart>
        <c:barDir val="col"/>
        <c:varyColors val="0"/>
        <c:ser>
          <c:idx val="0"/>
          <c:order val="0"/>
          <c:tx>
            <c:v>Cantidad productos muestra</c:v>
          </c:tx>
          <c:cat>
            <c:strRef>
              <c:f>'Resumen categorias'!$A$2:$A$8</c:f>
              <c:strCache>
                <c:ptCount val="0"/>
              </c:strCache>
            </c:strRef>
          </c:cat>
          <c:val>
            <c:numRef>
              <c:f>'Resumen categorias'!$B$2:$B$8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a241a15f114cc1"/>
        </a:graphicData>
      </a:graphic>
    </xdr:graphicFrame>
    <xdr:clientData/>
  </xdr:twoCellAnchor>
</xdr:wsDr>
</file>

<file path=xl/tables/table1.xml><?xml version="1.0" encoding="utf-8"?>
<x:table xmlns:x="http://schemas.openxmlformats.org/spreadsheetml/2006/main" id="1" name="CatalogoVisiblePrendasControl" displayName="CatalogoVisiblePrendasControl" ref="A1:L52" headerRowCount="1">
  <x:tableColumns count="12">
    <x:tableColumn id="1" name="#"/>
    <x:tableColumn id="2" name="Producto visible"/>
    <x:tableColumn id="3" name="Categoría visible"/>
    <x:tableColumn id="4" name="Categoría final interpretada"/>
    <x:tableColumn id="5" name="Subcategoría interpretada"/>
    <x:tableColumn id="6" name="Tipo visible"/>
    <x:tableColumn id="7" name="Stock visible"/>
    <x:tableColumn id="8" name="Precio proveedor visible"/>
    <x:tableColumn id="9" name="Precio sugerido visible"/>
    <x:tableColumn id="10" name="Marca/Proveedor visible"/>
    <x:tableColumn id="11" name="Producto privado observable"/>
    <x:tableColumn id="12" name="Observación crud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b5742cd02b4752" /></Relationships>
</file>

<file path=xl/worksheets/_rels/sheet3.xml.rels>&#65279;<?xml version="1.0" encoding="utf-8"?><Relationships xmlns="http://schemas.openxmlformats.org/package/2006/relationships"><Relationship Type="http://schemas.openxmlformats.org/officeDocument/2006/relationships/drawing" Target="/xl/drawings/drawing1.xml" Id="R5eecbda2d4904b41" /></Relationships>
</file>

<file path=xl/worksheets/sheet1.xml><?xml version="1.0" encoding="utf-8"?>
<x:worksheet xmlns:x="http://schemas.openxmlformats.org/spreadsheetml/2006/main">
  <x:sheetFormatPr defaultRowHeight="15"/>
  <x:cols>
    <x:col min="1" max="1" width="34" hidden="0" customWidth="1"/>
    <x:col min="2" max="2" width="75" hidden="0" customWidth="1"/>
  </x:cols>
  <x:sheetData>
    <x:row r="1" ht="28" customHeight="1">
      <x:c r="A1" s="20" t="str">
        <x:v>Inteligencia de Catálogo · Perfil supplier</x:v>
      </x:c>
      <x:c r="B1" s="20" t="str"/>
      <x:c r="C1" s="24"/>
      <x:c r="D1" s="24"/>
      <x:c r="E1" s="24"/>
      <x:c r="F1" s="24"/>
      <x:c r="G1" s="24"/>
      <x:c r="H1" s="24"/>
      <x:c r="I1" s="24"/>
      <x:c r="J1" s="24"/>
      <x:c r="K1" s="24"/>
      <x:c r="L1" s="24"/>
      <x:c r="M1" s="24"/>
      <x:c r="N1" s="24"/>
      <x:c r="O1" s="24"/>
      <x:c r="P1" s="24"/>
      <x:c r="Q1" s="24"/>
      <x:c r="R1" s="24"/>
      <x:c r="S1" s="24"/>
      <x:c r="T1" s="24"/>
    </x:row>
    <x:row r="2">
      <x:c r="A2" s="24"/>
      <x:c r="B2" s="24"/>
      <x:c r="C2" s="24"/>
      <x:c r="D2" s="24"/>
      <x:c r="E2" s="24"/>
      <x:c r="F2" s="24"/>
      <x:c r="G2" s="24"/>
      <x:c r="H2" s="24"/>
      <x:c r="I2" s="24"/>
      <x:c r="J2" s="24"/>
      <x:c r="K2" s="24"/>
      <x:c r="L2" s="24"/>
      <x:c r="M2" s="24"/>
      <x:c r="N2" s="24"/>
      <x:c r="O2" s="24"/>
      <x:c r="P2" s="24"/>
      <x:c r="Q2" s="24"/>
      <x:c r="R2" s="24"/>
      <x:c r="S2" s="24"/>
      <x:c r="T2" s="24"/>
    </x:row>
    <x:row r="3">
      <x:c r="A3" s="42" t="str">
        <x:v>Campo</x:v>
      </x:c>
      <x:c r="B3" s="42" t="str">
        <x:v>Dato visible / registrado</x:v>
      </x:c>
      <x:c r="C3" s="24"/>
      <x:c r="D3" s="24"/>
      <x:c r="E3" s="24"/>
      <x:c r="F3" s="24"/>
      <x:c r="G3" s="24"/>
      <x:c r="H3" s="24"/>
      <x:c r="I3" s="24"/>
      <x:c r="J3" s="24"/>
      <x:c r="K3" s="24"/>
      <x:c r="L3" s="24"/>
      <x:c r="M3" s="24"/>
      <x:c r="N3" s="24"/>
      <x:c r="O3" s="24"/>
      <x:c r="P3" s="24"/>
      <x:c r="Q3" s="24"/>
      <x:c r="R3" s="24"/>
      <x:c r="S3" s="24"/>
      <x:c r="T3" s="24"/>
    </x:row>
    <x:row r="4">
      <x:c r="A4" s="61" t="str">
        <x:v>Proveedor investigado</x:v>
      </x:c>
      <x:c r="B4" s="24" t="str">
        <x:v>RAMON CANO / PRENDAS CONTROL</x:v>
      </x:c>
      <x:c r="C4" s="24"/>
      <x:c r="D4" s="24"/>
      <x:c r="E4" s="24"/>
      <x:c r="F4" s="24"/>
      <x:c r="G4" s="24"/>
      <x:c r="H4" s="24"/>
      <x:c r="I4" s="24"/>
      <x:c r="J4" s="24"/>
      <x:c r="K4" s="24"/>
      <x:c r="L4" s="24"/>
      <x:c r="M4" s="24"/>
      <x:c r="N4" s="24"/>
      <x:c r="O4" s="24"/>
      <x:c r="P4" s="24"/>
      <x:c r="Q4" s="24"/>
      <x:c r="R4" s="24"/>
      <x:c r="S4" s="24"/>
      <x:c r="T4" s="24"/>
    </x:row>
    <x:row r="5">
      <x:c r="A5" s="61" t="str">
        <x:v>Tipo preliminar</x:v>
      </x:c>
      <x:c r="B5" s="24" t="str">
        <x:v>Mixto: marca propia + supplier normal</x:v>
      </x:c>
      <x:c r="C5" s="24"/>
      <x:c r="D5" s="24"/>
      <x:c r="E5" s="24"/>
      <x:c r="F5" s="24"/>
      <x:c r="G5" s="24"/>
      <x:c r="H5" s="24"/>
      <x:c r="I5" s="24"/>
      <x:c r="J5" s="24"/>
      <x:c r="K5" s="24"/>
      <x:c r="L5" s="24"/>
      <x:c r="M5" s="24"/>
      <x:c r="N5" s="24"/>
      <x:c r="O5" s="24"/>
      <x:c r="P5" s="24"/>
      <x:c r="Q5" s="24"/>
      <x:c r="R5" s="24"/>
      <x:c r="S5" s="24"/>
      <x:c r="T5" s="24"/>
    </x:row>
    <x:row r="6">
      <x:c r="A6" s="61" t="str">
        <x:v>Estado visible</x:v>
      </x:c>
      <x:c r="B6" s="24" t="str">
        <x:v>Premium</x:v>
      </x:c>
      <x:c r="C6" s="24"/>
      <x:c r="D6" s="24"/>
      <x:c r="E6" s="24"/>
      <x:c r="F6" s="24"/>
      <x:c r="G6" s="24"/>
      <x:c r="H6" s="24"/>
      <x:c r="I6" s="24"/>
      <x:c r="J6" s="24"/>
      <x:c r="K6" s="24"/>
      <x:c r="L6" s="24"/>
      <x:c r="M6" s="24"/>
      <x:c r="N6" s="24"/>
      <x:c r="O6" s="24"/>
      <x:c r="P6" s="24"/>
      <x:c r="Q6" s="24"/>
      <x:c r="R6" s="24"/>
      <x:c r="S6" s="24"/>
      <x:c r="T6" s="24"/>
    </x:row>
    <x:row r="7">
      <x:c r="A7" s="61" t="str">
        <x:v>En Dropi desde</x:v>
      </x:c>
      <x:c r="B7" s="24" t="str">
        <x:v>29/07/2022</x:v>
      </x:c>
      <x:c r="C7" s="24"/>
      <x:c r="D7" s="24"/>
      <x:c r="E7" s="24"/>
      <x:c r="F7" s="24"/>
      <x:c r="G7" s="24"/>
      <x:c r="H7" s="24"/>
      <x:c r="I7" s="24"/>
      <x:c r="J7" s="24"/>
      <x:c r="K7" s="24"/>
      <x:c r="L7" s="24"/>
      <x:c r="M7" s="24"/>
      <x:c r="N7" s="24"/>
      <x:c r="O7" s="24"/>
      <x:c r="P7" s="24"/>
      <x:c r="Q7" s="24"/>
      <x:c r="R7" s="24"/>
      <x:c r="S7" s="24"/>
      <x:c r="T7" s="24"/>
    </x:row>
    <x:row r="8">
      <x:c r="A8" s="61" t="str">
        <x:v>Última conexión</x:v>
      </x:c>
      <x:c r="B8" s="24" t="str">
        <x:v>Hoy</x:v>
      </x:c>
      <x:c r="C8" s="24"/>
      <x:c r="D8" s="24"/>
      <x:c r="E8" s="24"/>
      <x:c r="F8" s="24"/>
      <x:c r="G8" s="24"/>
      <x:c r="H8" s="24"/>
      <x:c r="I8" s="24"/>
      <x:c r="J8" s="24"/>
      <x:c r="K8" s="24"/>
      <x:c r="L8" s="24"/>
      <x:c r="M8" s="24"/>
      <x:c r="N8" s="24"/>
      <x:c r="O8" s="24"/>
      <x:c r="P8" s="24"/>
      <x:c r="Q8" s="24"/>
      <x:c r="R8" s="24"/>
      <x:c r="S8" s="24"/>
      <x:c r="T8" s="24"/>
    </x:row>
    <x:row r="9">
      <x:c r="A9" s="61" t="str">
        <x:v>Bodega visible</x:v>
      </x:c>
      <x:c r="B9" s="24" t="str">
        <x:v>Medellín</x:v>
      </x:c>
      <x:c r="C9" s="24"/>
      <x:c r="D9" s="24"/>
      <x:c r="E9" s="24"/>
      <x:c r="F9" s="24"/>
      <x:c r="G9" s="24"/>
      <x:c r="H9" s="24"/>
      <x:c r="I9" s="24"/>
      <x:c r="J9" s="24"/>
      <x:c r="K9" s="24"/>
      <x:c r="L9" s="24"/>
      <x:c r="M9" s="24"/>
      <x:c r="N9" s="24"/>
      <x:c r="O9" s="24"/>
      <x:c r="P9" s="24"/>
      <x:c r="Q9" s="24"/>
      <x:c r="R9" s="24"/>
      <x:c r="S9" s="24"/>
      <x:c r="T9" s="24"/>
    </x:row>
    <x:row r="10">
      <x:c r="A10" s="61" t="str">
        <x:v>Productos reportados en perfil</x:v>
      </x:c>
      <x:c r="B10" s="24" t="n">
        <x:v>221</x:v>
      </x:c>
      <x:c r="C10" s="24"/>
      <x:c r="D10" s="24"/>
      <x:c r="E10" s="24"/>
      <x:c r="F10" s="24"/>
      <x:c r="G10" s="24"/>
      <x:c r="H10" s="24"/>
      <x:c r="I10" s="24"/>
      <x:c r="J10" s="24"/>
      <x:c r="K10" s="24"/>
      <x:c r="L10" s="24"/>
      <x:c r="M10" s="24"/>
      <x:c r="N10" s="24"/>
      <x:c r="O10" s="24"/>
      <x:c r="P10" s="24"/>
      <x:c r="Q10" s="24"/>
      <x:c r="R10" s="24"/>
      <x:c r="S10" s="24"/>
      <x:c r="T10" s="24"/>
    </x:row>
    <x:row r="11">
      <x:c r="A11" s="61" t="str">
        <x:v>Órdenes históricas</x:v>
      </x:c>
      <x:c r="B11" s="24" t="n">
        <x:v>188692</x:v>
      </x:c>
      <x:c r="C11" s="24"/>
      <x:c r="D11" s="24"/>
      <x:c r="E11" s="24"/>
      <x:c r="F11" s="24"/>
      <x:c r="G11" s="24"/>
      <x:c r="H11" s="24"/>
      <x:c r="I11" s="24"/>
      <x:c r="J11" s="24"/>
      <x:c r="K11" s="24"/>
      <x:c r="L11" s="24"/>
      <x:c r="M11" s="24"/>
      <x:c r="N11" s="24"/>
      <x:c r="O11" s="24"/>
      <x:c r="P11" s="24"/>
      <x:c r="Q11" s="24"/>
      <x:c r="R11" s="24"/>
      <x:c r="S11" s="24"/>
      <x:c r="T11" s="24"/>
    </x:row>
    <x:row r="12">
      <x:c r="A12" s="61" t="str">
        <x:v>Dropshippers</x:v>
      </x:c>
      <x:c r="B12" s="24" t="n">
        <x:v>970</x:v>
      </x:c>
      <x:c r="C12" s="24"/>
      <x:c r="D12" s="24"/>
      <x:c r="E12" s="24"/>
      <x:c r="F12" s="24"/>
      <x:c r="G12" s="24"/>
      <x:c r="H12" s="24"/>
      <x:c r="I12" s="24"/>
      <x:c r="J12" s="24"/>
      <x:c r="K12" s="24"/>
      <x:c r="L12" s="24"/>
      <x:c r="M12" s="24"/>
      <x:c r="N12" s="24"/>
      <x:c r="O12" s="24"/>
      <x:c r="P12" s="24"/>
      <x:c r="Q12" s="24"/>
      <x:c r="R12" s="24"/>
      <x:c r="S12" s="24"/>
      <x:c r="T12" s="24"/>
    </x:row>
    <x:row r="13">
      <x:c r="A13" s="61" t="str">
        <x:v>Tiempo de despacho</x:v>
      </x:c>
      <x:c r="B13" s="24" t="str">
        <x:v>6 h</x:v>
      </x:c>
      <x:c r="C13" s="24"/>
      <x:c r="D13" s="24"/>
      <x:c r="E13" s="24"/>
      <x:c r="F13" s="24"/>
      <x:c r="G13" s="24"/>
      <x:c r="H13" s="24"/>
      <x:c r="I13" s="24"/>
      <x:c r="J13" s="24"/>
      <x:c r="K13" s="24"/>
      <x:c r="L13" s="24"/>
      <x:c r="M13" s="24"/>
      <x:c r="N13" s="24"/>
      <x:c r="O13" s="24"/>
      <x:c r="P13" s="24"/>
      <x:c r="Q13" s="24"/>
      <x:c r="R13" s="24"/>
      <x:c r="S13" s="24"/>
      <x:c r="T13" s="24"/>
    </x:row>
    <x:row r="14">
      <x:c r="A14" s="61" t="str">
        <x:v>Calificación últimos 30 días</x:v>
      </x:c>
      <x:c r="B14" s="24" t="str">
        <x:v>Óptima: envía rápido, cumple y responde bien.</x:v>
      </x:c>
      <x:c r="C14" s="24"/>
      <x:c r="D14" s="24"/>
      <x:c r="E14" s="24"/>
      <x:c r="F14" s="24"/>
      <x:c r="G14" s="24"/>
      <x:c r="H14" s="24"/>
      <x:c r="I14" s="24"/>
      <x:c r="J14" s="24"/>
      <x:c r="K14" s="24"/>
      <x:c r="L14" s="24"/>
      <x:c r="M14" s="24"/>
      <x:c r="N14" s="24"/>
      <x:c r="O14" s="24"/>
      <x:c r="P14" s="24"/>
      <x:c r="Q14" s="24"/>
      <x:c r="R14" s="24"/>
      <x:c r="S14" s="24"/>
      <x:c r="T14" s="24"/>
    </x:row>
    <x:row r="15">
      <x:c r="A15" s="61" t="str">
        <x:v>Despachos</x:v>
      </x:c>
      <x:c r="B15" s="24" t="str">
        <x:v>Envía rápido y sin demoras</x:v>
      </x:c>
      <x:c r="C15" s="24"/>
      <x:c r="D15" s="24"/>
      <x:c r="E15" s="24"/>
      <x:c r="F15" s="24"/>
      <x:c r="G15" s="24"/>
      <x:c r="H15" s="24"/>
      <x:c r="I15" s="24"/>
      <x:c r="J15" s="24"/>
      <x:c r="K15" s="24"/>
      <x:c r="L15" s="24"/>
      <x:c r="M15" s="24"/>
      <x:c r="N15" s="24"/>
      <x:c r="O15" s="24"/>
      <x:c r="P15" s="24"/>
      <x:c r="Q15" s="24"/>
      <x:c r="R15" s="24"/>
      <x:c r="S15" s="24"/>
      <x:c r="T15" s="24"/>
    </x:row>
    <x:row r="16">
      <x:c r="A16" s="61" t="str">
        <x:v>Cumplimiento</x:v>
      </x:c>
      <x:c r="B16" s="24" t="str">
        <x:v>Pocos rechazos y cancelaciones</x:v>
      </x:c>
      <x:c r="C16" s="24"/>
      <x:c r="D16" s="24"/>
      <x:c r="E16" s="24"/>
      <x:c r="F16" s="24"/>
      <x:c r="G16" s="24"/>
      <x:c r="H16" s="24"/>
      <x:c r="I16" s="24"/>
      <x:c r="J16" s="24"/>
      <x:c r="K16" s="24"/>
      <x:c r="L16" s="24"/>
      <x:c r="M16" s="24"/>
      <x:c r="N16" s="24"/>
      <x:c r="O16" s="24"/>
      <x:c r="P16" s="24"/>
      <x:c r="Q16" s="24"/>
      <x:c r="R16" s="24"/>
      <x:c r="S16" s="24"/>
      <x:c r="T16" s="24"/>
    </x:row>
    <x:row r="17">
      <x:c r="A17" s="61" t="str">
        <x:v>Postventa</x:v>
      </x:c>
      <x:c r="B17" s="24" t="str">
        <x:v>Muy pocos reclamos y atención rápida</x:v>
      </x:c>
      <x:c r="C17" s="24"/>
      <x:c r="D17" s="24"/>
      <x:c r="E17" s="24"/>
      <x:c r="F17" s="24"/>
      <x:c r="G17" s="24"/>
      <x:c r="H17" s="24"/>
      <x:c r="I17" s="24"/>
      <x:c r="J17" s="24"/>
      <x:c r="K17" s="24"/>
      <x:c r="L17" s="24"/>
      <x:c r="M17" s="24"/>
      <x:c r="N17" s="24"/>
      <x:c r="O17" s="24"/>
      <x:c r="P17" s="24"/>
      <x:c r="Q17" s="24"/>
      <x:c r="R17" s="24"/>
      <x:c r="S17" s="24"/>
      <x:c r="T17" s="24"/>
    </x:row>
    <x:row r="18">
      <x:c r="A18" s="61" t="str">
        <x:v>Fuente de levantamiento</x:v>
      </x:c>
      <x:c r="B18" s="24" t="str">
        <x:v>Pantallazos del perfil del supplier y catálogo visible en plataforma Dropi</x:v>
      </x:c>
      <x:c r="C18" s="24"/>
      <x:c r="D18" s="24"/>
      <x:c r="E18" s="24"/>
      <x:c r="F18" s="24"/>
      <x:c r="G18" s="24"/>
      <x:c r="H18" s="24"/>
      <x:c r="I18" s="24"/>
      <x:c r="J18" s="24"/>
      <x:c r="K18" s="24"/>
      <x:c r="L18" s="24"/>
      <x:c r="M18" s="24"/>
      <x:c r="N18" s="24"/>
      <x:c r="O18" s="24"/>
      <x:c r="P18" s="24"/>
      <x:c r="Q18" s="24"/>
      <x:c r="R18" s="24"/>
      <x:c r="S18" s="24"/>
      <x:c r="T18" s="24"/>
    </x:row>
    <x:row r="19">
      <x:c r="A19" s="61" t="str">
        <x:v>Fecha de levantamiento</x:v>
      </x:c>
      <x:c r="B19" s="24" t="str">
        <x:v>2026-05-29</x:v>
      </x:c>
      <x:c r="C19" s="24"/>
      <x:c r="D19" s="24"/>
      <x:c r="E19" s="24"/>
      <x:c r="F19" s="24"/>
      <x:c r="G19" s="24"/>
      <x:c r="H19" s="24"/>
      <x:c r="I19" s="24"/>
      <x:c r="J19" s="24"/>
      <x:c r="K19" s="24"/>
      <x:c r="L19" s="24"/>
      <x:c r="M19" s="24"/>
      <x:c r="N19" s="24"/>
      <x:c r="O19" s="24"/>
      <x:c r="P19" s="24"/>
      <x:c r="Q19" s="24"/>
      <x:c r="R19" s="24"/>
      <x:c r="S19" s="24"/>
      <x:c r="T19" s="24"/>
    </x:row>
    <x:row r="20" ht="26.399999618530273" hidden="0" customHeight="1">
      <x:c r="A20" s="60" t="str">
        <x:v>Productos capturados en feed público/manual</x:v>
      </x:c>
      <x:c r="B20" s="24" t="n">
        <x:v>51</x:v>
      </x:c>
      <x:c r="C20" s="24"/>
      <x:c r="D20" s="24"/>
      <x:c r="E20" s="24"/>
      <x:c r="F20" s="24"/>
      <x:c r="G20" s="24"/>
      <x:c r="H20" s="24"/>
      <x:c r="I20" s="24"/>
      <x:c r="J20" s="24"/>
      <x:c r="K20" s="24"/>
      <x:c r="L20" s="24"/>
      <x:c r="M20" s="24"/>
      <x:c r="N20" s="24"/>
      <x:c r="O20" s="24"/>
      <x:c r="P20" s="24"/>
      <x:c r="Q20" s="24"/>
      <x:c r="R20" s="24"/>
      <x:c r="S20" s="24"/>
      <x:c r="T20" s="24"/>
    </x:row>
    <x:row r="21" ht="15" hidden="0" customHeight="1">
      <x:c r="A21" s="60" t="str">
        <x:v>Productos no observados en feed</x:v>
      </x:c>
      <x:c r="B21" s="24" t="n">
        <x:v>170</x:v>
      </x:c>
      <x:c r="C21" s="24"/>
      <x:c r="D21" s="24"/>
      <x:c r="E21" s="24"/>
      <x:c r="F21" s="24"/>
      <x:c r="G21" s="24"/>
      <x:c r="H21" s="24"/>
      <x:c r="I21" s="24"/>
      <x:c r="J21" s="24"/>
      <x:c r="K21" s="24"/>
      <x:c r="L21" s="24"/>
      <x:c r="M21" s="24"/>
      <x:c r="N21" s="24"/>
      <x:c r="O21" s="24"/>
      <x:c r="P21" s="24"/>
      <x:c r="Q21" s="24"/>
      <x:c r="R21" s="24"/>
      <x:c r="S21" s="24"/>
      <x:c r="T21" s="24"/>
    </x:row>
    <x:row r="22" ht="15" hidden="0" customHeight="1">
      <x:c r="A22" s="60" t="str">
        <x:v>% capturado manualmente</x:v>
      </x:c>
      <x:c r="B22" s="24" t="n">
        <x:v>0.23076923076923078</x:v>
      </x:c>
      <x:c r="C22" s="24"/>
      <x:c r="D22" s="24"/>
      <x:c r="E22" s="24"/>
      <x:c r="F22" s="24"/>
      <x:c r="G22" s="24"/>
      <x:c r="H22" s="24"/>
      <x:c r="I22" s="24"/>
      <x:c r="J22" s="24"/>
      <x:c r="K22" s="24"/>
      <x:c r="L22" s="24"/>
      <x:c r="M22" s="24"/>
      <x:c r="N22" s="24"/>
      <x:c r="O22" s="24"/>
      <x:c r="P22" s="24"/>
      <x:c r="Q22" s="24"/>
      <x:c r="R22" s="24"/>
      <x:c r="S22" s="24"/>
      <x:c r="T22" s="24"/>
    </x:row>
    <x:row r="23" ht="26.399999618530273" hidden="0" customHeight="1">
      <x:c r="A23" s="60" t="str">
        <x:v>Nota metodológica actualizada</x:v>
      </x:c>
      <x:c r="B23" s="28" t="str">
        <x:v>Caso raro/mixto: marca propia especializada en prendas de control + posible comportamiento de supplier para dropshipping. Requiere validar visibilidad pública/privada y origen de órdenes antes de decidir inclusión en benchmark principal.</x:v>
      </x:c>
      <x:c r="C23" s="24"/>
      <x:c r="D23" s="24"/>
      <x:c r="E23" s="24"/>
      <x:c r="F23" s="24"/>
      <x:c r="G23" s="24"/>
      <x:c r="H23" s="24"/>
      <x:c r="I23" s="24"/>
      <x:c r="J23" s="24"/>
      <x:c r="K23" s="24"/>
      <x:c r="L23" s="24"/>
      <x:c r="M23" s="24"/>
      <x:c r="N23" s="24"/>
      <x:c r="O23" s="24"/>
      <x:c r="P23" s="24"/>
      <x:c r="Q23" s="24"/>
      <x:c r="R23" s="24"/>
      <x:c r="S23" s="24"/>
      <x:c r="T23" s="24"/>
    </x:row>
    <x:row r="24" ht="15" hidden="0" customHeight="1">
      <x:c r="A24" s="60"/>
      <x:c r="B24" s="24"/>
      <x:c r="C24" s="24"/>
      <x:c r="D24" s="24"/>
      <x:c r="E24" s="24"/>
      <x:c r="F24" s="24"/>
      <x:c r="G24" s="24"/>
      <x:c r="H24" s="24"/>
      <x:c r="I24" s="24"/>
      <x:c r="J24" s="24"/>
      <x:c r="K24" s="24"/>
      <x:c r="L24" s="24"/>
      <x:c r="M24" s="24"/>
      <x:c r="N24" s="24"/>
      <x:c r="O24" s="24"/>
      <x:c r="P24" s="24"/>
      <x:c r="Q24" s="24"/>
      <x:c r="R24" s="24"/>
      <x:c r="S24" s="24"/>
      <x:c r="T24" s="24"/>
    </x:row>
    <x:row r="25">
      <x:c r="A25" s="24"/>
      <x:c r="B25" s="24"/>
      <x:c r="C25" s="24"/>
      <x:c r="D25" s="24"/>
      <x:c r="E25" s="24"/>
      <x:c r="F25" s="24"/>
      <x:c r="G25" s="24"/>
      <x:c r="H25" s="24"/>
      <x:c r="I25" s="24"/>
      <x:c r="J25" s="24"/>
      <x:c r="K25" s="24"/>
      <x:c r="L25" s="24"/>
      <x:c r="M25" s="24"/>
      <x:c r="N25" s="24"/>
      <x:c r="O25" s="24"/>
      <x:c r="P25" s="24"/>
      <x:c r="Q25" s="24"/>
      <x:c r="R25" s="24"/>
      <x:c r="S25" s="24"/>
      <x:c r="T25" s="24"/>
    </x:row>
    <x:row r="26">
      <x:c r="A26" s="24"/>
      <x:c r="B26" s="24"/>
      <x:c r="C26" s="24"/>
      <x:c r="D26" s="24"/>
      <x:c r="E26" s="24"/>
      <x:c r="F26" s="24"/>
      <x:c r="G26" s="24"/>
      <x:c r="H26" s="24"/>
      <x:c r="I26" s="24"/>
      <x:c r="J26" s="24"/>
      <x:c r="K26" s="24"/>
      <x:c r="L26" s="24"/>
      <x:c r="M26" s="24"/>
      <x:c r="N26" s="24"/>
      <x:c r="O26" s="24"/>
      <x:c r="P26" s="24"/>
      <x:c r="Q26" s="24"/>
      <x:c r="R26" s="24"/>
      <x:c r="S26" s="24"/>
      <x:c r="T26" s="24"/>
    </x:row>
    <x:row r="27">
      <x:c r="A27" s="24"/>
      <x:c r="B27" s="24"/>
      <x:c r="C27" s="24"/>
      <x:c r="D27" s="24"/>
      <x:c r="E27" s="24"/>
      <x:c r="F27" s="24"/>
      <x:c r="G27" s="24"/>
      <x:c r="H27" s="24"/>
      <x:c r="I27" s="24"/>
      <x:c r="J27" s="24"/>
      <x:c r="K27" s="24"/>
      <x:c r="L27" s="24"/>
      <x:c r="M27" s="24"/>
      <x:c r="N27" s="24"/>
      <x:c r="O27" s="24"/>
      <x:c r="P27" s="24"/>
      <x:c r="Q27" s="24"/>
      <x:c r="R27" s="24"/>
      <x:c r="S27" s="24"/>
      <x:c r="T27" s="24"/>
    </x:row>
    <x:row r="28">
      <x:c r="A28" s="24"/>
      <x:c r="B28" s="24"/>
      <x:c r="C28" s="24"/>
      <x:c r="D28" s="24"/>
      <x:c r="E28" s="24"/>
      <x:c r="F28" s="24"/>
      <x:c r="G28" s="24"/>
      <x:c r="H28" s="24"/>
      <x:c r="I28" s="24"/>
      <x:c r="J28" s="24"/>
      <x:c r="K28" s="24"/>
      <x:c r="L28" s="24"/>
      <x:c r="M28" s="24"/>
      <x:c r="N28" s="24"/>
      <x:c r="O28" s="24"/>
      <x:c r="P28" s="24"/>
      <x:c r="Q28" s="24"/>
      <x:c r="R28" s="24"/>
      <x:c r="S28" s="24"/>
      <x:c r="T28" s="24"/>
    </x:row>
    <x:row r="29">
      <x:c r="A29" s="24"/>
      <x:c r="B29" s="24"/>
      <x:c r="C29" s="24"/>
      <x:c r="D29" s="24"/>
      <x:c r="E29" s="24"/>
      <x:c r="F29" s="24"/>
      <x:c r="G29" s="24"/>
      <x:c r="H29" s="24"/>
      <x:c r="I29" s="24"/>
      <x:c r="J29" s="24"/>
      <x:c r="K29" s="24"/>
      <x:c r="L29" s="24"/>
      <x:c r="M29" s="24"/>
      <x:c r="N29" s="24"/>
      <x:c r="O29" s="24"/>
      <x:c r="P29" s="24"/>
      <x:c r="Q29" s="24"/>
      <x:c r="R29" s="24"/>
      <x:c r="S29" s="24"/>
      <x:c r="T29" s="24"/>
    </x:row>
    <x:row r="30">
      <x:c r="A30" s="24"/>
      <x:c r="B30" s="24"/>
      <x:c r="C30" s="24"/>
      <x:c r="D30" s="24"/>
      <x:c r="E30" s="24"/>
      <x:c r="F30" s="24"/>
      <x:c r="G30" s="24"/>
      <x:c r="H30" s="24"/>
      <x:c r="I30" s="24"/>
      <x:c r="J30" s="24"/>
      <x:c r="K30" s="24"/>
      <x:c r="L30" s="24"/>
      <x:c r="M30" s="24"/>
      <x:c r="N30" s="24"/>
      <x:c r="O30" s="24"/>
      <x:c r="P30" s="24"/>
      <x:c r="Q30" s="24"/>
      <x:c r="R30" s="24"/>
      <x:c r="S30" s="24"/>
      <x:c r="T30" s="24"/>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36" hidden="0" customWidth="1"/>
    <x:col min="3" max="3" width="18" hidden="0" customWidth="1"/>
    <x:col min="4" max="4" width="24" hidden="0" customWidth="1"/>
    <x:col min="5" max="5" width="24" hidden="0" customWidth="1"/>
    <x:col min="6" max="6" width="12" hidden="0" customWidth="1"/>
    <x:col min="7" max="7" width="12" hidden="0" customWidth="1"/>
    <x:col min="8" max="8" width="18" hidden="0" customWidth="1"/>
    <x:col min="9" max="9" width="18" hidden="0" customWidth="1"/>
    <x:col min="10" max="10" width="20" hidden="0" customWidth="1"/>
    <x:col min="11" max="11" width="18" hidden="0" customWidth="1"/>
    <x:col min="12" max="12" width="48" hidden="0" customWidth="1"/>
  </x:cols>
  <x:sheetData>
    <x:row r="1" ht="34" customHeight="1">
      <x:c r="A1" s="22" t="str">
        <x:v>#</x:v>
      </x:c>
      <x:c r="B1" s="22" t="str">
        <x:v>Producto visible</x:v>
      </x:c>
      <x:c r="C1" s="22" t="str">
        <x:v>Categoría visible</x:v>
      </x:c>
      <x:c r="D1" s="22" t="str">
        <x:v>Categoría final interpretada</x:v>
      </x:c>
      <x:c r="E1" s="22" t="str">
        <x:v>Subcategoría interpretada</x:v>
      </x:c>
      <x:c r="F1" s="22" t="str">
        <x:v>Tipo visible</x:v>
      </x:c>
      <x:c r="G1" s="22" t="str">
        <x:v>Stock visible</x:v>
      </x:c>
      <x:c r="H1" s="22" t="str">
        <x:v>Precio proveedor visible</x:v>
      </x:c>
      <x:c r="I1" s="22" t="str">
        <x:v>Precio sugerido visible</x:v>
      </x:c>
      <x:c r="J1" s="22" t="str">
        <x:v>Marca/Proveedor visible</x:v>
      </x:c>
      <x:c r="K1" s="22" t="str">
        <x:v>Producto privado observable</x:v>
      </x:c>
      <x:c r="L1" s="22" t="str">
        <x:v>Observación cruda</x:v>
      </x:c>
    </x:row>
    <x:row r="2">
      <x:c r="A2" s="24" t="n">
        <x:v>1</x:v>
      </x:c>
      <x:c r="B2" s="24" t="str">
        <x:v>Combos Fajas Mirar La Descripcion 2502</x:v>
      </x:c>
      <x:c r="C2" s="24" t="str">
        <x:v>Belleza</x:v>
      </x:c>
      <x:c r="D2" s="24" t="str">
        <x:v>Belleza / Fajas</x:v>
      </x:c>
      <x:c r="E2" s="24" t="str">
        <x:v>Combo fajas</x:v>
      </x:c>
      <x:c r="F2" s="24" t="str">
        <x:v>Variable</x:v>
      </x:c>
      <x:c r="G2" s="26" t="n">
        <x:v>4570</x:v>
      </x:c>
      <x:c r="H2" s="24" t="str">
        <x:v>Variable</x:v>
      </x:c>
      <x:c r="I2" s="24" t="str">
        <x:v>$ 0</x:v>
      </x:c>
      <x:c r="J2" s="24" t="str">
        <x:v>PRENDAS CONTROL</x:v>
      </x:c>
      <x:c r="K2" s="24" t="str">
        <x:v>No</x:v>
      </x:c>
      <x:c r="L2" s="24" t="str">
        <x:v>Producto tipo combo; precio proveedor variable; precio sugerido 0 visible.</x:v>
      </x:c>
    </x:row>
    <x:row r="3">
      <x:c r="A3" s="24" t="n">
        <x:v>2</x:v>
      </x:c>
      <x:c r="B3" s="24" t="str">
        <x:v>Leggins Bota Ancha263</x:v>
      </x:c>
      <x:c r="C3" s="24" t="str">
        <x:v>Belleza</x:v>
      </x:c>
      <x:c r="D3" s="24" t="str">
        <x:v>Moda / Ropa deportiva</x:v>
      </x:c>
      <x:c r="E3" s="24" t="str">
        <x:v>Leggins</x:v>
      </x:c>
      <x:c r="F3" s="24" t="str">
        <x:v>Variable</x:v>
      </x:c>
      <x:c r="G3" s="26" t="n">
        <x:v>283</x:v>
      </x:c>
      <x:c r="H3" s="24" t="str">
        <x:v>$ 25.000</x:v>
      </x:c>
      <x:c r="I3" s="24" t="str">
        <x:v>Variable</x:v>
      </x:c>
      <x:c r="J3" s="24" t="str">
        <x:v>PRENDAS CONTROL</x:v>
      </x:c>
      <x:c r="K3" s="24" t="str">
        <x:v>No</x:v>
      </x:c>
      <x:c r="L3" s="24" t="str">
        <x:v>Producto textil de control/deportivo; precio sugerido no visible como valor único.</x:v>
      </x:c>
    </x:row>
    <x:row r="4">
      <x:c r="A4" s="24" t="n">
        <x:v>3</x:v>
      </x:c>
      <x:c r="B4" s="24" t="str">
        <x:v>Enterizo Deportivo Espalda Cubierta2612</x:v>
      </x:c>
      <x:c r="C4" s="24" t="str">
        <x:v>Ropa Deportiva</x:v>
      </x:c>
      <x:c r="D4" s="24" t="str">
        <x:v>Moda / Ropa deportiva</x:v>
      </x:c>
      <x:c r="E4" s="24" t="str">
        <x:v>Enterizo deportivo</x:v>
      </x:c>
      <x:c r="F4" s="24" t="str">
        <x:v>Variable</x:v>
      </x:c>
      <x:c r="G4" s="26" t="n">
        <x:v>597</x:v>
      </x:c>
      <x:c r="H4" s="24" t="str">
        <x:v>$ 40.000</x:v>
      </x:c>
      <x:c r="I4" s="24" t="str">
        <x:v>Variable</x:v>
      </x:c>
      <x:c r="J4" s="24" t="str">
        <x:v>PRENDAS CONTROL</x:v>
      </x:c>
      <x:c r="K4" s="24" t="str">
        <x:v>Sí</x:v>
      </x:c>
      <x:c r="L4" s="24" t="str">
        <x:v>Card azul de Prendas Control con candado / producto privado observado.</x:v>
      </x:c>
    </x:row>
    <x:row r="5">
      <x:c r="A5" s="24" t="n">
        <x:v>4</x:v>
      </x:c>
      <x:c r="B5" s="24" t="str">
        <x:v>Leggins Deportivo2620</x:v>
      </x:c>
      <x:c r="C5" s="24" t="str">
        <x:v>Ropa Deportiva</x:v>
      </x:c>
      <x:c r="D5" s="24" t="str">
        <x:v>Moda / Ropa deportiva</x:v>
      </x:c>
      <x:c r="E5" s="24" t="str">
        <x:v>Leggins</x:v>
      </x:c>
      <x:c r="F5" s="24" t="str">
        <x:v>Variable</x:v>
      </x:c>
      <x:c r="G5" s="26" t="n">
        <x:v>174</x:v>
      </x:c>
      <x:c r="H5" s="24" t="str">
        <x:v>$ 20.000</x:v>
      </x:c>
      <x:c r="I5" s="24" t="str">
        <x:v>Variable</x:v>
      </x:c>
      <x:c r="J5" s="24" t="str">
        <x:v>PRENDAS CONTROL</x:v>
      </x:c>
      <x:c r="K5" s="24" t="str">
        <x:v>No</x:v>
      </x:c>
      <x:c r="L5" s="24" t="str">
        <x:v>Producto con precio proveedor visible y precio sugerido variable.</x:v>
      </x:c>
    </x:row>
    <x:row r="6">
      <x:c r="A6" s="24" t="n">
        <x:v>5</x:v>
      </x:c>
      <x:c r="B6" s="24" t="str">
        <x:v>Shampoo2005</x:v>
      </x:c>
      <x:c r="C6" s="24" t="str">
        <x:v>Belleza</x:v>
      </x:c>
      <x:c r="D6" s="24" t="str">
        <x:v>Cuidado personal</x:v>
      </x:c>
      <x:c r="E6" s="24" t="str">
        <x:v>Shampoo</x:v>
      </x:c>
      <x:c r="F6" s="24" t="str">
        <x:v>Simple</x:v>
      </x:c>
      <x:c r="G6" s="26" t="n">
        <x:v>819</x:v>
      </x:c>
      <x:c r="H6" s="24" t="str">
        <x:v>$ 5.292</x:v>
      </x:c>
      <x:c r="I6" s="24" t="str">
        <x:v>$ 5.292</x:v>
      </x:c>
      <x:c r="J6" s="24" t="str">
        <x:v>PRENDAS CONTROL</x:v>
      </x:c>
      <x:c r="K6" s="24" t="str">
        <x:v>No</x:v>
      </x:c>
      <x:c r="L6" s="24" t="str">
        <x:v>Precio proveedor y sugerido iguales en card visible.</x:v>
      </x:c>
    </x:row>
    <x:row r="7">
      <x:c r="A7" s="24" t="n">
        <x:v>6</x:v>
      </x:c>
      <x:c r="B7" s="24" t="str">
        <x:v>Combo Short Obsequio2524</x:v>
      </x:c>
      <x:c r="C7" s="24" t="str">
        <x:v>Belleza</x:v>
      </x:c>
      <x:c r="D7" s="24" t="str">
        <x:v>Belleza / Fajas</x:v>
      </x:c>
      <x:c r="E7" s="24" t="str">
        <x:v>Combo short</x:v>
      </x:c>
      <x:c r="F7" s="24" t="str">
        <x:v>Variable</x:v>
      </x:c>
      <x:c r="G7" s="26" t="n">
        <x:v>599</x:v>
      </x:c>
      <x:c r="H7" s="24" t="str">
        <x:v>$ 36.000</x:v>
      </x:c>
      <x:c r="I7" s="24" t="str">
        <x:v>Variable</x:v>
      </x:c>
      <x:c r="J7" s="24" t="str">
        <x:v>PRENDAS CONTROL</x:v>
      </x:c>
      <x:c r="K7" s="24" t="str">
        <x:v>No</x:v>
      </x:c>
      <x:c r="L7" s="24" t="str">
        <x:v>Combo con precio proveedor visible y precio sugerido variable.</x:v>
      </x:c>
    </x:row>
    <x:row r="8">
      <x:c r="A8" s="24" t="n">
        <x:v>7</x:v>
      </x:c>
      <x:c r="B8" s="24" t="str">
        <x:v>Muñequera Negra2660</x:v>
      </x:c>
      <x:c r="C8" s="24" t="str">
        <x:v>Bienestar</x:v>
      </x:c>
      <x:c r="D8" s="24" t="str">
        <x:v>Bienestar / Compresión</x:v>
      </x:c>
      <x:c r="E8" s="24" t="str">
        <x:v>Muñequera</x:v>
      </x:c>
      <x:c r="F8" s="24" t="str">
        <x:v>Simple</x:v>
      </x:c>
      <x:c r="G8" s="26" t="n">
        <x:v>39</x:v>
      </x:c>
      <x:c r="H8" s="24" t="str">
        <x:v>$ 18.727</x:v>
      </x:c>
      <x:c r="I8" s="24" t="str">
        <x:v>$ 18.727</x:v>
      </x:c>
      <x:c r="J8" s="24" t="str">
        <x:v>PRENDAS CONTROL</x:v>
      </x:c>
      <x:c r="K8" s="24" t="str">
        <x:v>No</x:v>
      </x:c>
      <x:c r="L8" s="24" t="str">
        <x:v>Stock visible bajo vs otros productos de la muestra.</x:v>
      </x:c>
    </x:row>
    <x:row r="9">
      <x:c r="A9" s="24" t="n">
        <x:v>8</x:v>
      </x:c>
      <x:c r="B9" s="24" t="str">
        <x:v>Short Tiro Alto2611</x:v>
      </x:c>
      <x:c r="C9" s="24" t="str">
        <x:v>Belleza</x:v>
      </x:c>
      <x:c r="D9" s="24" t="str">
        <x:v>Belleza / Fajas</x:v>
      </x:c>
      <x:c r="E9" s="24" t="str">
        <x:v>Short de control</x:v>
      </x:c>
      <x:c r="F9" s="24" t="str">
        <x:v>Variable</x:v>
      </x:c>
      <x:c r="G9" s="26" t="n">
        <x:v>6818</x:v>
      </x:c>
      <x:c r="H9" s="24" t="str">
        <x:v>$ 44.626</x:v>
      </x:c>
      <x:c r="I9" s="24" t="str">
        <x:v>$ 75.000</x:v>
      </x:c>
      <x:c r="J9" s="24" t="str">
        <x:v>PRENDAS CONTROL</x:v>
      </x:c>
      <x:c r="K9" s="24" t="str">
        <x:v>No</x:v>
      </x:c>
      <x:c r="L9" s="24" t="str">
        <x:v>Producto con stock alto y precio sugerido mayor al proveedor.</x:v>
      </x:c>
    </x:row>
    <x:row r="10">
      <x:c r="A10" s="24" t="n">
        <x:v>9</x:v>
      </x:c>
      <x:c r="B10" s="24" t="str">
        <x:v>Faja Con Varilla2667</x:v>
      </x:c>
      <x:c r="C10" s="24" t="str">
        <x:v>Belleza</x:v>
      </x:c>
      <x:c r="D10" s="24" t="str">
        <x:v>Belleza / Fajas</x:v>
      </x:c>
      <x:c r="E10" s="24" t="str">
        <x:v>Faja</x:v>
      </x:c>
      <x:c r="F10" s="24" t="str">
        <x:v>Variable</x:v>
      </x:c>
      <x:c r="G10" s="26" t="n">
        <x:v>4836</x:v>
      </x:c>
      <x:c r="H10" s="24" t="str">
        <x:v>$ 85.860</x:v>
      </x:c>
      <x:c r="I10" s="24" t="str">
        <x:v>$ 0</x:v>
      </x:c>
      <x:c r="J10" s="24" t="str">
        <x:v>PRENDAS CONTROL</x:v>
      </x:c>
      <x:c r="K10" s="24" t="str">
        <x:v>No</x:v>
      </x:c>
      <x:c r="L10" s="24" t="str">
        <x:v>Precio sugerido 0 visible; revisar si aplica por variación.</x:v>
      </x:c>
    </x:row>
    <x:row r="11">
      <x:c r="A11" s="24" t="n">
        <x:v>10</x:v>
      </x:c>
      <x:c r="B11" s="24" t="str">
        <x:v>Talonera2661</x:v>
      </x:c>
      <x:c r="C11" s="24" t="str">
        <x:v>Bienestar</x:v>
      </x:c>
      <x:c r="D11" s="24" t="str">
        <x:v>Bienestar / Ortopedia</x:v>
      </x:c>
      <x:c r="E11" s="24" t="str">
        <x:v>Talonera</x:v>
      </x:c>
      <x:c r="F11" s="24" t="str">
        <x:v>Variable</x:v>
      </x:c>
      <x:c r="G11" s="26" t="n">
        <x:v>378</x:v>
      </x:c>
      <x:c r="H11" s="24" t="str">
        <x:v>$ 18.953</x:v>
      </x:c>
      <x:c r="I11" s="24" t="str">
        <x:v>$ 0</x:v>
      </x:c>
      <x:c r="J11" s="24" t="str">
        <x:v>PRENDAS CONTROL</x:v>
      </x:c>
      <x:c r="K11" s="24" t="str">
        <x:v>Sí</x:v>
      </x:c>
      <x:c r="L11" s="24" t="str">
        <x:v>Card azul de Prendas Control / producto privado observado; precio sugerido 0.</x:v>
      </x:c>
    </x:row>
    <x:row r="12">
      <x:c r="A12" s="24" t="n">
        <x:v>11</x:v>
      </x:c>
      <x:c r="B12" s="24" t="str">
        <x:v>Mantequilla Humectante2004</x:v>
      </x:c>
      <x:c r="C12" s="24" t="str">
        <x:v>Belleza</x:v>
      </x:c>
      <x:c r="D12" s="24" t="str">
        <x:v>Cuidado personal</x:v>
      </x:c>
      <x:c r="E12" s="24" t="str">
        <x:v>Humectante</x:v>
      </x:c>
      <x:c r="F12" s="24" t="str">
        <x:v>Variable</x:v>
      </x:c>
      <x:c r="G12" s="26" t="n">
        <x:v>155</x:v>
      </x:c>
      <x:c r="H12" s="24" t="str">
        <x:v>$ 10.692</x:v>
      </x:c>
      <x:c r="I12" s="24" t="str">
        <x:v>$ 10.692</x:v>
      </x:c>
      <x:c r="J12" s="24" t="str">
        <x:v>PRENDAS CONTROL</x:v>
      </x:c>
      <x:c r="K12" s="24" t="str">
        <x:v>No</x:v>
      </x:c>
      <x:c r="L12" s="24" t="str">
        <x:v>Precio proveedor y sugerido iguales en card visible.</x:v>
      </x:c>
    </x:row>
    <x:row r="13">
      <x:c r="A13" s="24" t="n">
        <x:v>12</x:v>
      </x:c>
      <x:c r="B13" s="24" t="str">
        <x:v>Faja Tejida Con Tiras2672</x:v>
      </x:c>
      <x:c r="C13" s="24" t="str">
        <x:v>Belleza</x:v>
      </x:c>
      <x:c r="D13" s="24" t="str">
        <x:v>Belleza / Fajas</x:v>
      </x:c>
      <x:c r="E13" s="24" t="str">
        <x:v>Faja</x:v>
      </x:c>
      <x:c r="F13" s="24" t="str">
        <x:v>Variable</x:v>
      </x:c>
      <x:c r="G13" s="26" t="n">
        <x:v>9567</x:v>
      </x:c>
      <x:c r="H13" s="24" t="str">
        <x:v>$ 36.400</x:v>
      </x:c>
      <x:c r="I13" s="24" t="str">
        <x:v>$ 35.000</x:v>
      </x:c>
      <x:c r="J13" s="24" t="str">
        <x:v>PRENDAS CONTROL</x:v>
      </x:c>
      <x:c r="K13" s="24" t="str">
        <x:v>No</x:v>
      </x:c>
      <x:c r="L13" s="24" t="str">
        <x:v>Precio sugerido menor al proveedor visible; revisar dato.</x:v>
      </x:c>
    </x:row>
    <x:row r="14">
      <x:c r="A14" s="24" t="n">
        <x:v>13</x:v>
      </x:c>
      <x:c r="B14" s="24" t="str">
        <x:v>Short Con Broche Tiro Alto2642</x:v>
      </x:c>
      <x:c r="C14" s="24" t="str">
        <x:v>Belleza</x:v>
      </x:c>
      <x:c r="D14" s="24" t="str">
        <x:v>Belleza / Fajas</x:v>
      </x:c>
      <x:c r="E14" s="24" t="str">
        <x:v>Short de control</x:v>
      </x:c>
      <x:c r="F14" s="24" t="str">
        <x:v>Variable</x:v>
      </x:c>
      <x:c r="G14" s="26" t="n">
        <x:v>943</x:v>
      </x:c>
      <x:c r="H14" s="24" t="str">
        <x:v>$ 47.684</x:v>
      </x:c>
      <x:c r="I14" s="24" t="str">
        <x:v>$ 89.900</x:v>
      </x:c>
      <x:c r="J14" s="24" t="str">
        <x:v>PRENDAS CONTROL</x:v>
      </x:c>
      <x:c r="K14" s="24" t="str">
        <x:v>No</x:v>
      </x:c>
      <x:c r="L14" s="24" t="str">
        <x:v>Producto con margen sugerido visible alto.</x:v>
      </x:c>
    </x:row>
    <x:row r="15">
      <x:c r="A15" s="24" t="n">
        <x:v>14</x:v>
      </x:c>
      <x:c r="B15" s="24" t="str">
        <x:v>Panty Moldeador Talle Alto2694</x:v>
      </x:c>
      <x:c r="C15" s="24" t="str">
        <x:v>Belleza</x:v>
      </x:c>
      <x:c r="D15" s="24" t="str">
        <x:v>Belleza / Fajas</x:v>
      </x:c>
      <x:c r="E15" s="24" t="str">
        <x:v>Panty moldeador</x:v>
      </x:c>
      <x:c r="F15" s="24" t="str">
        <x:v>Variable</x:v>
      </x:c>
      <x:c r="G15" s="26" t="n">
        <x:v>1034</x:v>
      </x:c>
      <x:c r="H15" s="24" t="str">
        <x:v>$ 36.044</x:v>
      </x:c>
      <x:c r="I15" s="24" t="str">
        <x:v>$ 0</x:v>
      </x:c>
      <x:c r="J15" s="24" t="str">
        <x:v>PRENDAS CONTROL</x:v>
      </x:c>
      <x:c r="K15" s="24" t="str">
        <x:v>No</x:v>
      </x:c>
      <x:c r="L15" s="24" t="str">
        <x:v>Precio sugerido 0 visible; revisar configuración.</x:v>
      </x:c>
    </x:row>
    <x:row r="16">
      <x:c r="A16" s="24" t="n">
        <x:v>15</x:v>
      </x:c>
      <x:c r="B16" s="24" t="str">
        <x:v>Body deportivo2616</x:v>
      </x:c>
      <x:c r="C16" s="24" t="str">
        <x:v>Belleza</x:v>
      </x:c>
      <x:c r="D16" s="24" t="str">
        <x:v>Moda / Ropa deportiva</x:v>
      </x:c>
      <x:c r="E16" s="24" t="str">
        <x:v>Body deportivo</x:v>
      </x:c>
      <x:c r="F16" s="24" t="str">
        <x:v>Variable</x:v>
      </x:c>
      <x:c r="G16" s="26" t="n">
        <x:v>295</x:v>
      </x:c>
      <x:c r="H16" s="24" t="str">
        <x:v>$ 23.000</x:v>
      </x:c>
      <x:c r="I16" s="24" t="str">
        <x:v>Variable</x:v>
      </x:c>
      <x:c r="J16" s="24" t="str">
        <x:v>PRENDAS CONTROL</x:v>
      </x:c>
      <x:c r="K16" s="24" t="str">
        <x:v>No</x:v>
      </x:c>
      <x:c r="L16" s="24" t="str">
        <x:v>Producto textil deportivo/control.</x:v>
      </x:c>
    </x:row>
    <x:row r="17">
      <x:c r="A17" s="24" t="n">
        <x:v>16</x:v>
      </x:c>
      <x:c r="B17" s="24" t="str">
        <x:v>Body x3 Obsequio 2506</x:v>
      </x:c>
      <x:c r="C17" s="24" t="str">
        <x:v>Belleza</x:v>
      </x:c>
      <x:c r="D17" s="24" t="str">
        <x:v>Belleza / Fajas</x:v>
      </x:c>
      <x:c r="E17" s="24" t="str">
        <x:v>Combo body</x:v>
      </x:c>
      <x:c r="F17" s="24" t="str">
        <x:v>Variable</x:v>
      </x:c>
      <x:c r="G17" s="26" t="n">
        <x:v>407</x:v>
      </x:c>
      <x:c r="H17" s="24" t="str">
        <x:v>$ 70.200</x:v>
      </x:c>
      <x:c r="I17" s="24" t="str">
        <x:v>$ 65</x:v>
      </x:c>
      <x:c r="J17" s="24" t="str">
        <x:v>PRENDAS CONTROL</x:v>
      </x:c>
      <x:c r="K17" s="24" t="str">
        <x:v>No</x:v>
      </x:c>
      <x:c r="L17" s="24" t="str">
        <x:v>Precio sugerido visible parece inconsistente/cortado; revisar.</x:v>
      </x:c>
    </x:row>
    <x:row r="18">
      <x:c r="A18" s="24" t="n">
        <x:v>17</x:v>
      </x:c>
      <x:c r="B18" s="24" t="str">
        <x:v>Faja Pierna Corta2605</x:v>
      </x:c>
      <x:c r="C18" s="24" t="str">
        <x:v>Belleza</x:v>
      </x:c>
      <x:c r="D18" s="24" t="str">
        <x:v>Belleza / Fajas</x:v>
      </x:c>
      <x:c r="E18" s="24" t="str">
        <x:v>Faja pierna corta</x:v>
      </x:c>
      <x:c r="F18" s="24" t="str">
        <x:v>Variable</x:v>
      </x:c>
      <x:c r="G18" s="26" t="n">
        <x:v>9783</x:v>
      </x:c>
      <x:c r="H18" s="24" t="str">
        <x:v>$ 80.460</x:v>
      </x:c>
      <x:c r="I18" s="24" t="str">
        <x:v>$ 105.000</x:v>
      </x:c>
      <x:c r="J18" s="24" t="str">
        <x:v>PRENDAS CONTROL</x:v>
      </x:c>
      <x:c r="K18" s="24" t="str">
        <x:v>No</x:v>
      </x:c>
      <x:c r="L18" s="24" t="str">
        <x:v>Uno de los stocks visibles más altos de la muestra.</x:v>
      </x:c>
    </x:row>
    <x:row r="19">
      <x:c r="A19" s="24" t="n">
        <x:v>18</x:v>
      </x:c>
      <x:c r="B19" s="24" t="str">
        <x:v>Body Brasilero2695</x:v>
      </x:c>
      <x:c r="C19" s="24" t="str">
        <x:v>Belleza</x:v>
      </x:c>
      <x:c r="D19" s="24" t="str">
        <x:v>Belleza / Fajas</x:v>
      </x:c>
      <x:c r="E19" s="24" t="str">
        <x:v>Body brasilero</x:v>
      </x:c>
      <x:c r="F19" s="24" t="str">
        <x:v>Variable</x:v>
      </x:c>
      <x:c r="G19" s="26" t="n">
        <x:v>46376</x:v>
      </x:c>
      <x:c r="H19" s="24" t="str">
        <x:v>$ 26.000</x:v>
      </x:c>
      <x:c r="I19" s="24" t="str">
        <x:v>$ 27.000</x:v>
      </x:c>
      <x:c r="J19" s="24" t="str">
        <x:v>PRENDAS CONTROL</x:v>
      </x:c>
      <x:c r="K19" s="24" t="str">
        <x:v>No</x:v>
      </x:c>
      <x:c r="L19" s="24" t="str">
        <x:v>Stock extremadamente alto en comparación con el resto de la muestra.</x:v>
      </x:c>
    </x:row>
    <x:row r="20">
      <x:c r="A20" s="24" t="n">
        <x:v>19</x:v>
      </x:c>
      <x:c r="B20" s="24" t="str">
        <x:v>Combo Set2526</x:v>
      </x:c>
      <x:c r="C20" s="24" t="str">
        <x:v>Belleza</x:v>
      </x:c>
      <x:c r="D20" s="24" t="str">
        <x:v>Belleza / Fajas</x:v>
      </x:c>
      <x:c r="E20" s="24" t="str">
        <x:v>Combo set</x:v>
      </x:c>
      <x:c r="F20" s="24" t="str">
        <x:v>Variable</x:v>
      </x:c>
      <x:c r="G20" s="26" t="n">
        <x:v>600</x:v>
      </x:c>
      <x:c r="H20" s="24" t="str">
        <x:v>$ 66.000</x:v>
      </x:c>
      <x:c r="I20" s="24" t="str">
        <x:v>Variable</x:v>
      </x:c>
      <x:c r="J20" s="24" t="str">
        <x:v>PRENDAS CONTROL</x:v>
      </x:c>
      <x:c r="K20" s="24" t="str">
        <x:v>No</x:v>
      </x:c>
      <x:c r="L20" s="24" t="str">
        <x:v>Producto combo.</x:v>
      </x:c>
    </x:row>
    <x:row r="21">
      <x:c r="A21" s="24" t="n">
        <x:v>20</x:v>
      </x:c>
      <x:c r="B21" s="24" t="str">
        <x:v>Cinturilla Avispa2626</x:v>
      </x:c>
      <x:c r="C21" s="24" t="str">
        <x:v>Belleza</x:v>
      </x:c>
      <x:c r="D21" s="24" t="str">
        <x:v>Belleza / Fajas</x:v>
      </x:c>
      <x:c r="E21" s="24" t="str">
        <x:v>Cinturilla</x:v>
      </x:c>
      <x:c r="F21" s="24" t="str">
        <x:v>Variable</x:v>
      </x:c>
      <x:c r="G21" s="26" t="n">
        <x:v>272</x:v>
      </x:c>
      <x:c r="H21" s="24" t="str">
        <x:v>$ 41.281</x:v>
      </x:c>
      <x:c r="I21" s="24" t="str">
        <x:v>$ 85.000</x:v>
      </x:c>
      <x:c r="J21" s="24" t="str">
        <x:v>PRENDAS CONTROL</x:v>
      </x:c>
      <x:c r="K21" s="24" t="str">
        <x:v>No</x:v>
      </x:c>
      <x:c r="L21" s="24" t="str">
        <x:v>Producto de control con precio sugerido alto frente a proveedor.</x:v>
      </x:c>
    </x:row>
    <x:row r="22">
      <x:c r="A22" s="24" t="n">
        <x:v>21</x:v>
      </x:c>
      <x:c r="B22" s="24" t="str">
        <x:v>Top Acanalado Aleatorio2676</x:v>
      </x:c>
      <x:c r="C22" s="24" t="str">
        <x:v>Belleza</x:v>
      </x:c>
      <x:c r="D22" s="24" t="str">
        <x:v>Moda / Ropa deportiva</x:v>
      </x:c>
      <x:c r="E22" s="24" t="str">
        <x:v>Top</x:v>
      </x:c>
      <x:c r="F22" s="24" t="str">
        <x:v>Simple</x:v>
      </x:c>
      <x:c r="G22" s="26" t="n">
        <x:v>217</x:v>
      </x:c>
      <x:c r="H22" s="24" t="str">
        <x:v>$ 9.839</x:v>
      </x:c>
      <x:c r="I22" s="24" t="str">
        <x:v>$ 9.839</x:v>
      </x:c>
      <x:c r="J22" s="24" t="str">
        <x:v>PRENDAS CONTROL</x:v>
      </x:c>
      <x:c r="K22" s="24" t="str">
        <x:v>No</x:v>
      </x:c>
      <x:c r="L22" s="24" t="str">
        <x:v>Precio proveedor y sugerido iguales.</x:v>
      </x:c>
    </x:row>
    <x:row r="23">
      <x:c r="A23" s="24" t="n">
        <x:v>22</x:v>
      </x:c>
      <x:c r="B23" s="24" t="str">
        <x:v>Short Hasta La Rodilla2664</x:v>
      </x:c>
      <x:c r="C23" s="24" t="str">
        <x:v>Belleza</x:v>
      </x:c>
      <x:c r="D23" s="24" t="str">
        <x:v>Belleza / Fajas</x:v>
      </x:c>
      <x:c r="E23" s="24" t="str">
        <x:v>Short de control</x:v>
      </x:c>
      <x:c r="F23" s="24" t="str">
        <x:v>Variable</x:v>
      </x:c>
      <x:c r="G23" s="26" t="n">
        <x:v>2167</x:v>
      </x:c>
      <x:c r="H23" s="24" t="str">
        <x:v>$ 22.448</x:v>
      </x:c>
      <x:c r="I23" s="24" t="str">
        <x:v>$ 28.785</x:v>
      </x:c>
      <x:c r="J23" s="24" t="str">
        <x:v>PRENDAS CONTROL</x:v>
      </x:c>
      <x:c r="K23" s="24" t="str">
        <x:v>No</x:v>
      </x:c>
      <x:c r="L23" s="24" t="str">
        <x:v>Producto con stock alto.</x:v>
      </x:c>
    </x:row>
    <x:row r="24">
      <x:c r="A24" s="24" t="n">
        <x:v>23</x:v>
      </x:c>
      <x:c r="B24" s="24" t="str">
        <x:v>Body Con Tiras2680</x:v>
      </x:c>
      <x:c r="C24" s="24" t="str">
        <x:v>Belleza</x:v>
      </x:c>
      <x:c r="D24" s="24" t="str">
        <x:v>Belleza / Fajas</x:v>
      </x:c>
      <x:c r="E24" s="24" t="str">
        <x:v>Body</x:v>
      </x:c>
      <x:c r="F24" s="24" t="str">
        <x:v>Variable</x:v>
      </x:c>
      <x:c r="G24" s="26" t="n">
        <x:v>59</x:v>
      </x:c>
      <x:c r="H24" s="24" t="str">
        <x:v>$ 26.000</x:v>
      </x:c>
      <x:c r="I24" s="24" t="str">
        <x:v>$ 0</x:v>
      </x:c>
      <x:c r="J24" s="24" t="str">
        <x:v>PRENDAS CONTROL</x:v>
      </x:c>
      <x:c r="K24" s="24" t="str">
        <x:v>No</x:v>
      </x:c>
      <x:c r="L24" s="24" t="str">
        <x:v>Precio sugerido 0 visible; stock bajo.</x:v>
      </x:c>
    </x:row>
    <x:row r="25">
      <x:c r="A25" s="24" t="n">
        <x:v>24</x:v>
      </x:c>
      <x:c r="B25" s="24" t="str">
        <x:v>Short Invisible Con Cremallera2653</x:v>
      </x:c>
      <x:c r="C25" s="24" t="str">
        <x:v>Belleza</x:v>
      </x:c>
      <x:c r="D25" s="24" t="str">
        <x:v>Belleza / Fajas</x:v>
      </x:c>
      <x:c r="E25" s="24" t="str">
        <x:v>Short de control</x:v>
      </x:c>
      <x:c r="F25" s="24" t="str">
        <x:v>Variable</x:v>
      </x:c>
      <x:c r="G25" s="26" t="n">
        <x:v>268</x:v>
      </x:c>
      <x:c r="H25" s="24" t="str">
        <x:v>$ 45.123</x:v>
      </x:c>
      <x:c r="I25" s="24" t="str">
        <x:v>$ 41.781</x:v>
      </x:c>
      <x:c r="J25" s="24" t="str">
        <x:v>PRENDAS CONTROL</x:v>
      </x:c>
      <x:c r="K25" s="24" t="str">
        <x:v>No</x:v>
      </x:c>
      <x:c r="L25" s="24" t="str">
        <x:v>Precio sugerido menor al proveedor visible; revisar dato.</x:v>
      </x:c>
    </x:row>
    <x:row r="26">
      <x:c r="A26" s="24" t="n">
        <x:v>25</x:v>
      </x:c>
      <x:c r="B26" s="24" t="str">
        <x:v>Batido Para La Ansiedad209</x:v>
      </x:c>
      <x:c r="C26" s="24" t="str">
        <x:v>Bienestar</x:v>
      </x:c>
      <x:c r="D26" s="24" t="str">
        <x:v>Bienestar / Suplementos</x:v>
      </x:c>
      <x:c r="E26" s="24" t="str">
        <x:v>Batido</x:v>
      </x:c>
      <x:c r="F26" s="24" t="str">
        <x:v>Simple</x:v>
      </x:c>
      <x:c r="G26" s="26" t="n">
        <x:v>76</x:v>
      </x:c>
      <x:c r="H26" s="24" t="str">
        <x:v>$ 11.772</x:v>
      </x:c>
      <x:c r="I26" s="24" t="str">
        <x:v>$ 11.772</x:v>
      </x:c>
      <x:c r="J26" s="24" t="str">
        <x:v>PRENDAS CONTROL</x:v>
      </x:c>
      <x:c r="K26" s="24" t="str">
        <x:v>No</x:v>
      </x:c>
      <x:c r="L26" s="24" t="str">
        <x:v>Producto de bienestar dentro de un supplier de prendas/fajas.</x:v>
      </x:c>
    </x:row>
    <x:row r="27">
      <x:c r="A27" s="24" t="n">
        <x:v>26</x:v>
      </x:c>
      <x:c r="B27" s="24" t="str">
        <x:v>Brasier Con Realce2607</x:v>
      </x:c>
      <x:c r="C27" s="24" t="str">
        <x:v>Belleza</x:v>
      </x:c>
      <x:c r="D27" s="24" t="str">
        <x:v>Belleza / Fajas</x:v>
      </x:c>
      <x:c r="E27" s="24" t="str">
        <x:v>Brasier</x:v>
      </x:c>
      <x:c r="F27" s="24" t="str">
        <x:v>Variable</x:v>
      </x:c>
      <x:c r="G27" s="26" t="n">
        <x:v>8533</x:v>
      </x:c>
      <x:c r="H27" s="24" t="str">
        <x:v>$ 30.848</x:v>
      </x:c>
      <x:c r="I27" s="24" t="str">
        <x:v>$ 89.900</x:v>
      </x:c>
      <x:c r="J27" s="24" t="str">
        <x:v>PRENDAS CONTROL</x:v>
      </x:c>
      <x:c r="K27" s="24" t="str">
        <x:v>No</x:v>
      </x:c>
      <x:c r="L27" s="24" t="str">
        <x:v>Stock alto; precio sugerido mayor al proveedor.</x:v>
      </x:c>
    </x:row>
    <x:row r="28">
      <x:c r="A28" s="24" t="n">
        <x:v>27</x:v>
      </x:c>
      <x:c r="B28" s="24" t="str">
        <x:v>Crema Exfoliante2002</x:v>
      </x:c>
      <x:c r="C28" s="24" t="str">
        <x:v>Belleza</x:v>
      </x:c>
      <x:c r="D28" s="24" t="str">
        <x:v>Cuidado personal</x:v>
      </x:c>
      <x:c r="E28" s="24" t="str">
        <x:v>Crema exfoliante</x:v>
      </x:c>
      <x:c r="F28" s="24" t="str">
        <x:v>Simple</x:v>
      </x:c>
      <x:c r="G28" s="26" t="n">
        <x:v>198</x:v>
      </x:c>
      <x:c r="H28" s="24" t="str">
        <x:v>$ 5.292</x:v>
      </x:c>
      <x:c r="I28" s="24" t="str">
        <x:v>$ 5.292</x:v>
      </x:c>
      <x:c r="J28" s="24" t="str">
        <x:v>PRENDAS CONTROL</x:v>
      </x:c>
      <x:c r="K28" s="24" t="str">
        <x:v>No</x:v>
      </x:c>
      <x:c r="L28" s="24" t="str">
        <x:v>Producto de cuidado personal.</x:v>
      </x:c>
    </x:row>
    <x:row r="29">
      <x:c r="A29" s="24" t="n">
        <x:v>28</x:v>
      </x:c>
      <x:c r="B29" s="24" t="str">
        <x:v>Combo Cinturilla Coliplus2516</x:v>
      </x:c>
      <x:c r="C29" s="24" t="str">
        <x:v>Belleza</x:v>
      </x:c>
      <x:c r="D29" s="24" t="str">
        <x:v>Belleza / Fajas</x:v>
      </x:c>
      <x:c r="E29" s="24" t="str">
        <x:v>Combo cinturilla</x:v>
      </x:c>
      <x:c r="F29" s="24" t="str">
        <x:v>Variable</x:v>
      </x:c>
      <x:c r="G29" s="26" t="n">
        <x:v>695</x:v>
      </x:c>
      <x:c r="H29" s="24" t="str">
        <x:v>$ 75.600</x:v>
      </x:c>
      <x:c r="I29" s="24" t="str">
        <x:v>$ 70.000</x:v>
      </x:c>
      <x:c r="J29" s="24" t="str">
        <x:v>PRENDAS CONTROL</x:v>
      </x:c>
      <x:c r="K29" s="24" t="str">
        <x:v>No</x:v>
      </x:c>
      <x:c r="L29" s="24" t="str">
        <x:v>Precio sugerido menor al proveedor visible; revisar dato.</x:v>
      </x:c>
    </x:row>
    <x:row r="30">
      <x:c r="A30" s="24" t="n">
        <x:v>29</x:v>
      </x:c>
      <x:c r="B30" s="24" t="str">
        <x:v>Faja Lipo Con Brasier Incluido2624</x:v>
      </x:c>
      <x:c r="C30" s="24" t="str">
        <x:v>Belleza</x:v>
      </x:c>
      <x:c r="D30" s="24" t="str">
        <x:v>Belleza / Fajas</x:v>
      </x:c>
      <x:c r="E30" s="24" t="str">
        <x:v>Faja lipo</x:v>
      </x:c>
      <x:c r="F30" s="24" t="str">
        <x:v>Variable</x:v>
      </x:c>
      <x:c r="G30" s="26" t="n">
        <x:v>8397</x:v>
      </x:c>
      <x:c r="H30" s="24" t="str">
        <x:v>$ 97.092</x:v>
      </x:c>
      <x:c r="I30" s="24" t="str">
        <x:v>$ 89.900</x:v>
      </x:c>
      <x:c r="J30" s="24" t="str">
        <x:v>PRENDAS CONTROL</x:v>
      </x:c>
      <x:c r="K30" s="24" t="str">
        <x:v>No</x:v>
      </x:c>
      <x:c r="L30" s="24" t="str">
        <x:v>Stock alto; precio sugerido menor al proveedor visible.</x:v>
      </x:c>
    </x:row>
    <x:row r="31">
      <x:c r="A31" s="24" t="n">
        <x:v>30</x:v>
      </x:c>
      <x:c r="B31" s="24" t="str">
        <x:v>Camisilla De Hombre2658</x:v>
      </x:c>
      <x:c r="C31" s="24" t="str">
        <x:v>Ropa Deportiva</x:v>
      </x:c>
      <x:c r="D31" s="24" t="str">
        <x:v>Moda / Ropa deportiva</x:v>
      </x:c>
      <x:c r="E31" s="24" t="str">
        <x:v>Camisilla</x:v>
      </x:c>
      <x:c r="F31" s="24" t="str">
        <x:v>Variable</x:v>
      </x:c>
      <x:c r="G31" s="26" t="n">
        <x:v>3095</x:v>
      </x:c>
      <x:c r="H31" s="24" t="str">
        <x:v>$ 26.000</x:v>
      </x:c>
      <x:c r="I31" s="24" t="str">
        <x:v>$ 75.900</x:v>
      </x:c>
      <x:c r="J31" s="24" t="str">
        <x:v>PRENDAS CONTROL</x:v>
      </x:c>
      <x:c r="K31" s="24" t="str">
        <x:v>No</x:v>
      </x:c>
      <x:c r="L31" s="24" t="str">
        <x:v>Producto masculino de control/ropa.</x:v>
      </x:c>
    </x:row>
    <x:row r="32">
      <x:c r="A32" s="24" t="n">
        <x:v>31</x:v>
      </x:c>
      <x:c r="B32" s="24" t="str">
        <x:v>Corset 9 Varillas2669</x:v>
      </x:c>
      <x:c r="C32" s="24" t="str">
        <x:v>Belleza</x:v>
      </x:c>
      <x:c r="D32" s="24" t="str">
        <x:v>Belleza / Fajas</x:v>
      </x:c>
      <x:c r="E32" s="24" t="str">
        <x:v>Corset</x:v>
      </x:c>
      <x:c r="F32" s="24" t="str">
        <x:v>Variable</x:v>
      </x:c>
      <x:c r="G32" s="26" t="n">
        <x:v>4370</x:v>
      </x:c>
      <x:c r="H32" s="24" t="str">
        <x:v>$ 48.000</x:v>
      </x:c>
      <x:c r="I32" s="24" t="str">
        <x:v>$ 0</x:v>
      </x:c>
      <x:c r="J32" s="24" t="str">
        <x:v>PRENDAS CONTROL</x:v>
      </x:c>
      <x:c r="K32" s="24" t="str">
        <x:v>No</x:v>
      </x:c>
      <x:c r="L32" s="24" t="str">
        <x:v>Precio sugerido 0 visible.</x:v>
      </x:c>
    </x:row>
    <x:row r="33">
      <x:c r="A33" s="24" t="n">
        <x:v>32</x:v>
      </x:c>
      <x:c r="B33" s="24" t="str">
        <x:v>Short De Licra Tiro Alto2654</x:v>
      </x:c>
      <x:c r="C33" s="24" t="str">
        <x:v>Belleza</x:v>
      </x:c>
      <x:c r="D33" s="24" t="str">
        <x:v>Belleza / Fajas</x:v>
      </x:c>
      <x:c r="E33" s="24" t="str">
        <x:v>Short de control</x:v>
      </x:c>
      <x:c r="F33" s="24" t="str">
        <x:v>Variable</x:v>
      </x:c>
      <x:c r="G33" s="26" t="n">
        <x:v>4318</x:v>
      </x:c>
      <x:c r="H33" s="24" t="str">
        <x:v>$ 32.519</x:v>
      </x:c>
      <x:c r="I33" s="24" t="str">
        <x:v>$ 89.900</x:v>
      </x:c>
      <x:c r="J33" s="24" t="str">
        <x:v>PRENDAS CONTROL</x:v>
      </x:c>
      <x:c r="K33" s="24" t="str">
        <x:v>No</x:v>
      </x:c>
      <x:c r="L33" s="24" t="str">
        <x:v>Stock alto y precio sugerido alto.</x:v>
      </x:c>
    </x:row>
    <x:row r="34">
      <x:c r="A34" s="24" t="n">
        <x:v>33</x:v>
      </x:c>
      <x:c r="B34" s="24" t="str">
        <x:v>Gel Reafirmante Frio Caliente2008</x:v>
      </x:c>
      <x:c r="C34" s="24" t="str">
        <x:v>Bienestar</x:v>
      </x:c>
      <x:c r="D34" s="24" t="str">
        <x:v>Cuidado personal</x:v>
      </x:c>
      <x:c r="E34" s="24" t="str">
        <x:v>Gel reafirmante</x:v>
      </x:c>
      <x:c r="F34" s="24" t="str">
        <x:v>Simple</x:v>
      </x:c>
      <x:c r="G34" s="26" t="n">
        <x:v>462</x:v>
      </x:c>
      <x:c r="H34" s="24" t="str">
        <x:v>$ 10.692</x:v>
      </x:c>
      <x:c r="I34" s="24" t="str">
        <x:v>$ 10.692</x:v>
      </x:c>
      <x:c r="J34" s="24" t="str">
        <x:v>PRENDAS CONTROL</x:v>
      </x:c>
      <x:c r="K34" s="24" t="str">
        <x:v>No</x:v>
      </x:c>
      <x:c r="L34" s="24" t="str">
        <x:v>Producto complementario de fajas/cuidado corporal.</x:v>
      </x:c>
    </x:row>
    <x:row r="35">
      <x:c r="A35" s="24" t="n">
        <x:v>34</x:v>
      </x:c>
      <x:c r="B35" s="24" t="str">
        <x:v>Body De Compresion Con Manga 2670</x:v>
      </x:c>
      <x:c r="C35" s="24" t="str">
        <x:v>Belleza</x:v>
      </x:c>
      <x:c r="D35" s="24" t="str">
        <x:v>Belleza / Fajas</x:v>
      </x:c>
      <x:c r="E35" s="24" t="str">
        <x:v>Body compresión</x:v>
      </x:c>
      <x:c r="F35" s="24" t="str">
        <x:v>Variable</x:v>
      </x:c>
      <x:c r="G35" s="26" t="n">
        <x:v>2826</x:v>
      </x:c>
      <x:c r="H35" s="24" t="str">
        <x:v>$ 25.931</x:v>
      </x:c>
      <x:c r="I35" s="24" t="str">
        <x:v>$ 38.000</x:v>
      </x:c>
      <x:c r="J35" s="24" t="str">
        <x:v>PRENDAS CONTROL</x:v>
      </x:c>
      <x:c r="K35" s="24" t="str">
        <x:v>No</x:v>
      </x:c>
      <x:c r="L35" s="24" t="str">
        <x:v>Producto de compresión.</x:v>
      </x:c>
    </x:row>
    <x:row r="36">
      <x:c r="A36" s="24" t="n">
        <x:v>35</x:v>
      </x:c>
      <x:c r="B36" s="24" t="str">
        <x:v>Short Cachetero Con Varillas2644</x:v>
      </x:c>
      <x:c r="C36" s="24" t="str">
        <x:v>Belleza</x:v>
      </x:c>
      <x:c r="D36" s="24" t="str">
        <x:v>Belleza / Fajas</x:v>
      </x:c>
      <x:c r="E36" s="24" t="str">
        <x:v>Short cachetero</x:v>
      </x:c>
      <x:c r="F36" s="24" t="str">
        <x:v>Variable</x:v>
      </x:c>
      <x:c r="G36" s="26" t="n">
        <x:v>7294</x:v>
      </x:c>
      <x:c r="H36" s="24" t="str">
        <x:v>$ 36.044</x:v>
      </x:c>
      <x:c r="I36" s="24" t="str">
        <x:v>$ 33.374</x:v>
      </x:c>
      <x:c r="J36" s="24" t="str">
        <x:v>PRENDAS CONTROL</x:v>
      </x:c>
      <x:c r="K36" s="24" t="str">
        <x:v>No</x:v>
      </x:c>
      <x:c r="L36" s="24" t="str">
        <x:v>Precio sugerido menor al proveedor visible.</x:v>
      </x:c>
    </x:row>
    <x:row r="37">
      <x:c r="A37" s="24" t="n">
        <x:v>36</x:v>
      </x:c>
      <x:c r="B37" s="24" t="str">
        <x:v>Medias De Compresion2655</x:v>
      </x:c>
      <x:c r="C37" s="24" t="str">
        <x:v>Ropa Deportiva</x:v>
      </x:c>
      <x:c r="D37" s="24" t="str">
        <x:v>Bienestar / Compresión</x:v>
      </x:c>
      <x:c r="E37" s="24" t="str">
        <x:v>Medias de compresión</x:v>
      </x:c>
      <x:c r="F37" s="24" t="str">
        <x:v>Variable</x:v>
      </x:c>
      <x:c r="G37" s="26" t="n">
        <x:v>1345</x:v>
      </x:c>
      <x:c r="H37" s="24" t="str">
        <x:v>$ 11.292</x:v>
      </x:c>
      <x:c r="I37" s="24" t="str">
        <x:v>$ 35.000</x:v>
      </x:c>
      <x:c r="J37" s="24" t="str">
        <x:v>PRENDAS CONTROL</x:v>
      </x:c>
      <x:c r="K37" s="24" t="str">
        <x:v>No</x:v>
      </x:c>
      <x:c r="L37" s="24" t="str">
        <x:v>Producto de compresión categorizado como ropa deportiva.</x:v>
      </x:c>
    </x:row>
    <x:row r="38">
      <x:c r="A38" s="24" t="n">
        <x:v>37</x:v>
      </x:c>
      <x:c r="B38" s="24" t="str">
        <x:v>Faja Tejida X2252</x:v>
      </x:c>
      <x:c r="C38" s="24" t="str">
        <x:v>Belleza</x:v>
      </x:c>
      <x:c r="D38" s="24" t="str">
        <x:v>Belleza / Fajas</x:v>
      </x:c>
      <x:c r="E38" s="24" t="str">
        <x:v>Faja</x:v>
      </x:c>
      <x:c r="F38" s="24" t="str">
        <x:v>Variable</x:v>
      </x:c>
      <x:c r="G38" s="26" t="n">
        <x:v>1200</x:v>
      </x:c>
      <x:c r="H38" s="24" t="str">
        <x:v>$ 60.000</x:v>
      </x:c>
      <x:c r="I38" s="24" t="str">
        <x:v>Variable</x:v>
      </x:c>
      <x:c r="J38" s="24" t="str">
        <x:v>PRENDAS CONTROL</x:v>
      </x:c>
      <x:c r="K38" s="24" t="str">
        <x:v>No</x:v>
      </x:c>
      <x:c r="L38" s="24" t="str">
        <x:v>Combo / producto tejido.</x:v>
      </x:c>
    </x:row>
    <x:row r="39">
      <x:c r="A39" s="24" t="n">
        <x:v>38</x:v>
      </x:c>
      <x:c r="B39" s="24" t="str">
        <x:v>Faja Seamless Abertura Per2601</x:v>
      </x:c>
      <x:c r="C39" s="24" t="str">
        <x:v>Belleza</x:v>
      </x:c>
      <x:c r="D39" s="24" t="str">
        <x:v>Belleza / Fajas</x:v>
      </x:c>
      <x:c r="E39" s="24" t="str">
        <x:v>Faja seamless</x:v>
      </x:c>
      <x:c r="F39" s="24" t="str">
        <x:v>Variable</x:v>
      </x:c>
      <x:c r="G39" s="26" t="n">
        <x:v>368</x:v>
      </x:c>
      <x:c r="H39" s="24" t="str">
        <x:v>$ 37.000</x:v>
      </x:c>
      <x:c r="I39" s="24" t="str">
        <x:v>$ 39.000</x:v>
      </x:c>
      <x:c r="J39" s="24" t="str">
        <x:v>PRENDAS CONTROL</x:v>
      </x:c>
      <x:c r="K39" s="24" t="str">
        <x:v>No</x:v>
      </x:c>
      <x:c r="L39" s="24" t="str">
        <x:v>Producto de control seamless.</x:v>
      </x:c>
    </x:row>
    <x:row r="40">
      <x:c r="A40" s="24" t="n">
        <x:v>39</x:v>
      </x:c>
      <x:c r="B40" s="24" t="str">
        <x:v>Body Manga Larga2668</x:v>
      </x:c>
      <x:c r="C40" s="24" t="str">
        <x:v>Belleza</x:v>
      </x:c>
      <x:c r="D40" s="24" t="str">
        <x:v>Belleza / Fajas</x:v>
      </x:c>
      <x:c r="E40" s="24" t="str">
        <x:v>Body manga larga</x:v>
      </x:c>
      <x:c r="F40" s="24" t="str">
        <x:v>Variable</x:v>
      </x:c>
      <x:c r="G40" s="26" t="n">
        <x:v>2222</x:v>
      </x:c>
      <x:c r="H40" s="24" t="str">
        <x:v>$ 28.080</x:v>
      </x:c>
      <x:c r="I40" s="24" t="str">
        <x:v>$ 0</x:v>
      </x:c>
      <x:c r="J40" s="24" t="str">
        <x:v>PRENDAS CONTROL</x:v>
      </x:c>
      <x:c r="K40" s="24" t="str">
        <x:v>No</x:v>
      </x:c>
      <x:c r="L40" s="24" t="str">
        <x:v>Precio sugerido 0 visible.</x:v>
      </x:c>
    </x:row>
    <x:row r="41">
      <x:c r="A41" s="24" t="n">
        <x:v>40</x:v>
      </x:c>
      <x:c r="B41" s="24" t="str">
        <x:v>Media Completa Compresion2770</x:v>
      </x:c>
      <x:c r="C41" s="24" t="str">
        <x:v>Salud</x:v>
      </x:c>
      <x:c r="D41" s="24" t="str">
        <x:v>Bienestar / Compresión</x:v>
      </x:c>
      <x:c r="E41" s="24" t="str">
        <x:v>Media de compresión</x:v>
      </x:c>
      <x:c r="F41" s="24" t="str">
        <x:v>Variable</x:v>
      </x:c>
      <x:c r="G41" s="26"/>
      <x:c r="H41" s="24" t="str">
        <x:v>$ 12.960</x:v>
      </x:c>
      <x:c r="I41" s="24" t="str">
        <x:v>$ 12.000</x:v>
      </x:c>
      <x:c r="J41" s="24" t="str">
        <x:v>PRENDAS CONTROL</x:v>
      </x:c>
      <x:c r="K41" s="24" t="str">
        <x:v>No</x:v>
      </x:c>
      <x:c r="L41" s="24" t="str">
        <x:v>Parte derecha del screenshot cortada; stock no visible completo.</x:v>
      </x:c>
    </x:row>
    <x:row r="42">
      <x:c r="A42" s="24" t="n">
        <x:v>41</x:v>
      </x:c>
      <x:c r="B42" s="24" t="str">
        <x:v>Short Cremallera Tiro Alto2627</x:v>
      </x:c>
      <x:c r="C42" s="24" t="str">
        <x:v>Belleza</x:v>
      </x:c>
      <x:c r="D42" s="24" t="str">
        <x:v>Belleza / Fajas</x:v>
      </x:c>
      <x:c r="E42" s="24" t="str">
        <x:v>Short de control</x:v>
      </x:c>
      <x:c r="F42" s="24" t="str">
        <x:v>Variable</x:v>
      </x:c>
      <x:c r="G42" s="26" t="n">
        <x:v>6376</x:v>
      </x:c>
      <x:c r="H42" s="24" t="str">
        <x:v>$ 46.378</x:v>
      </x:c>
      <x:c r="I42" s="24" t="str">
        <x:v>$ 75.000</x:v>
      </x:c>
      <x:c r="J42" s="24" t="str">
        <x:v>PRENDAS CONTROL</x:v>
      </x:c>
      <x:c r="K42" s="24" t="str">
        <x:v>No</x:v>
      </x:c>
      <x:c r="L42" s="24" t="str">
        <x:v>Stock alto.</x:v>
      </x:c>
    </x:row>
    <x:row r="43">
      <x:c r="A43" s="24" t="n">
        <x:v>42</x:v>
      </x:c>
      <x:c r="B43" s="24" t="str">
        <x:v>Panty Brasilero2651</x:v>
      </x:c>
      <x:c r="C43" s="24" t="str">
        <x:v>Belleza</x:v>
      </x:c>
      <x:c r="D43" s="24" t="str">
        <x:v>Belleza / Fajas</x:v>
      </x:c>
      <x:c r="E43" s="24" t="str">
        <x:v>Panty</x:v>
      </x:c>
      <x:c r="F43" s="24" t="str">
        <x:v>Variable</x:v>
      </x:c>
      <x:c r="G43" s="26" t="n">
        <x:v>5135</x:v>
      </x:c>
      <x:c r="H43" s="24" t="str">
        <x:v>$ 24.840</x:v>
      </x:c>
      <x:c r="I43" s="24" t="str">
        <x:v>$ 75.000</x:v>
      </x:c>
      <x:c r="J43" s="24" t="str">
        <x:v>PRENDAS CONTROL</x:v>
      </x:c>
      <x:c r="K43" s="24" t="str">
        <x:v>No</x:v>
      </x:c>
      <x:c r="L43" s="24" t="str">
        <x:v>Stock alto.</x:v>
      </x:c>
    </x:row>
    <x:row r="44">
      <x:c r="A44" s="24" t="n">
        <x:v>43</x:v>
      </x:c>
      <x:c r="B44" s="24" t="str">
        <x:v>Enterizo Espalda descubierta2613</x:v>
      </x:c>
      <x:c r="C44" s="24" t="str">
        <x:v>Ropa Deportiva</x:v>
      </x:c>
      <x:c r="D44" s="24" t="str">
        <x:v>Moda / Ropa deportiva</x:v>
      </x:c>
      <x:c r="E44" s="24" t="str">
        <x:v>Enterizo deportivo</x:v>
      </x:c>
      <x:c r="F44" s="24" t="str">
        <x:v>Variable</x:v>
      </x:c>
      <x:c r="G44" s="26" t="n">
        <x:v>597</x:v>
      </x:c>
      <x:c r="H44" s="24" t="str">
        <x:v>$ 40.000</x:v>
      </x:c>
      <x:c r="I44" s="24" t="str">
        <x:v>Variable</x:v>
      </x:c>
      <x:c r="J44" s="24" t="str">
        <x:v>PRENDAS CONTROL</x:v>
      </x:c>
      <x:c r="K44" s="24" t="str">
        <x:v>Sí</x:v>
      </x:c>
      <x:c r="L44" s="24" t="str">
        <x:v>Card azul de producto privado observado.</x:v>
      </x:c>
    </x:row>
    <x:row r="45">
      <x:c r="A45" s="24" t="n">
        <x:v>44</x:v>
      </x:c>
      <x:c r="B45" s="24" t="str">
        <x:v>Combo Body Pantyfex2511</x:v>
      </x:c>
      <x:c r="C45" s="24" t="str">
        <x:v>Belleza</x:v>
      </x:c>
      <x:c r="D45" s="24" t="str">
        <x:v>Belleza / Fajas</x:v>
      </x:c>
      <x:c r="E45" s="24" t="str">
        <x:v>Combo body/panty</x:v>
      </x:c>
      <x:c r="F45" s="24" t="str">
        <x:v>Variable</x:v>
      </x:c>
      <x:c r="G45" s="26" t="n">
        <x:v>148</x:v>
      </x:c>
      <x:c r="H45" s="24" t="str">
        <x:v>$ 75.600</x:v>
      </x:c>
      <x:c r="I45" s="24" t="str">
        <x:v>$ 149.900</x:v>
      </x:c>
      <x:c r="J45" s="24" t="str">
        <x:v>PRENDAS CONTROL</x:v>
      </x:c>
      <x:c r="K45" s="24" t="str">
        <x:v>No</x:v>
      </x:c>
      <x:c r="L45" s="24" t="str">
        <x:v>Combo con precio sugerido alto.</x:v>
      </x:c>
    </x:row>
    <x:row r="46">
      <x:c r="A46" s="24" t="n">
        <x:v>45</x:v>
      </x:c>
      <x:c r="B46" s="24" t="str">
        <x:v>Faja Seamless Espalda Descubierta2609</x:v>
      </x:c>
      <x:c r="C46" s="24" t="str">
        <x:v>Belleza</x:v>
      </x:c>
      <x:c r="D46" s="24" t="str">
        <x:v>Belleza / Fajas</x:v>
      </x:c>
      <x:c r="E46" s="24" t="str">
        <x:v>Faja seamless</x:v>
      </x:c>
      <x:c r="F46" s="24" t="str">
        <x:v>Variable</x:v>
      </x:c>
      <x:c r="G46" s="26" t="n">
        <x:v>1128</x:v>
      </x:c>
      <x:c r="H46" s="24" t="str">
        <x:v>$ 36.000</x:v>
      </x:c>
      <x:c r="I46" s="24" t="str">
        <x:v>$ 28.489</x:v>
      </x:c>
      <x:c r="J46" s="24" t="str">
        <x:v>PRENDAS CONTROL</x:v>
      </x:c>
      <x:c r="K46" s="24" t="str">
        <x:v>No</x:v>
      </x:c>
      <x:c r="L46" s="24" t="str">
        <x:v>Precio sugerido menor al proveedor visible; revisar dato.</x:v>
      </x:c>
    </x:row>
    <x:row r="47">
      <x:c r="A47" s="24" t="n">
        <x:v>46</x:v>
      </x:c>
      <x:c r="B47" s="24" t="str">
        <x:v>Calcetin De Compresion2621</x:v>
      </x:c>
      <x:c r="C47" s="24" t="str">
        <x:v>Belleza</x:v>
      </x:c>
      <x:c r="D47" s="24" t="str">
        <x:v>Bienestar / Compresión</x:v>
      </x:c>
      <x:c r="E47" s="24" t="str">
        <x:v>Calcetín de compresión</x:v>
      </x:c>
      <x:c r="F47" s="24" t="str">
        <x:v>Variable</x:v>
      </x:c>
      <x:c r="G47" s="26" t="n">
        <x:v>61</x:v>
      </x:c>
      <x:c r="H47" s="24" t="str">
        <x:v>$ 12.960</x:v>
      </x:c>
      <x:c r="I47" s="24" t="str">
        <x:v>$ 12.960</x:v>
      </x:c>
      <x:c r="J47" s="24" t="str">
        <x:v>PRENDAS CONTROL</x:v>
      </x:c>
      <x:c r="K47" s="24" t="str">
        <x:v>No</x:v>
      </x:c>
      <x:c r="L47" s="24" t="str">
        <x:v>Precio proveedor y sugerido iguales.</x:v>
      </x:c>
    </x:row>
    <x:row r="48">
      <x:c r="A48" s="24" t="n">
        <x:v>47</x:v>
      </x:c>
      <x:c r="B48" s="24" t="str">
        <x:v>Chaleco Corset 9 Varillas2698</x:v>
      </x:c>
      <x:c r="C48" s="24" t="str">
        <x:v>Belleza</x:v>
      </x:c>
      <x:c r="D48" s="24" t="str">
        <x:v>Belleza / Fajas</x:v>
      </x:c>
      <x:c r="E48" s="24" t="str">
        <x:v>Chaleco corset</x:v>
      </x:c>
      <x:c r="F48" s="24" t="str">
        <x:v>Variable</x:v>
      </x:c>
      <x:c r="G48" s="26" t="n">
        <x:v>1206</x:v>
      </x:c>
      <x:c r="H48" s="24" t="str">
        <x:v>$ 59.400</x:v>
      </x:c>
      <x:c r="I48" s="24" t="str">
        <x:v>$ 0</x:v>
      </x:c>
      <x:c r="J48" s="24" t="str">
        <x:v>PRENDAS CONTROL</x:v>
      </x:c>
      <x:c r="K48" s="24" t="str">
        <x:v>No</x:v>
      </x:c>
      <x:c r="L48" s="24" t="str">
        <x:v>Precio sugerido 0 visible.</x:v>
      </x:c>
    </x:row>
    <x:row r="49">
      <x:c r="A49" s="24" t="n">
        <x:v>48</x:v>
      </x:c>
      <x:c r="B49" s="24" t="str">
        <x:v>Combo Invisible2523</x:v>
      </x:c>
      <x:c r="C49" s="24" t="str">
        <x:v>Belleza</x:v>
      </x:c>
      <x:c r="D49" s="24" t="str">
        <x:v>Belleza / Fajas</x:v>
      </x:c>
      <x:c r="E49" s="24" t="str">
        <x:v>Combo invisible</x:v>
      </x:c>
      <x:c r="F49" s="24" t="str">
        <x:v>Variable</x:v>
      </x:c>
      <x:c r="G49" s="26" t="n">
        <x:v>591</x:v>
      </x:c>
      <x:c r="H49" s="24" t="str">
        <x:v>$ 50.000</x:v>
      </x:c>
      <x:c r="I49" s="24" t="str">
        <x:v>Variable</x:v>
      </x:c>
      <x:c r="J49" s="24" t="str">
        <x:v>PRENDAS CONTROL</x:v>
      </x:c>
      <x:c r="K49" s="24" t="str">
        <x:v>No</x:v>
      </x:c>
      <x:c r="L49" s="24" t="str">
        <x:v>Producto combo.</x:v>
      </x:c>
    </x:row>
    <x:row r="50">
      <x:c r="A50" s="24" t="n">
        <x:v>49</x:v>
      </x:c>
      <x:c r="B50" s="24" t="str">
        <x:v>Body De Compresión2659</x:v>
      </x:c>
      <x:c r="C50" s="24" t="str">
        <x:v>Belleza</x:v>
      </x:c>
      <x:c r="D50" s="24" t="str">
        <x:v>Belleza / Fajas</x:v>
      </x:c>
      <x:c r="E50" s="24" t="str">
        <x:v>Body compresión</x:v>
      </x:c>
      <x:c r="F50" s="24" t="str">
        <x:v>Variable</x:v>
      </x:c>
      <x:c r="G50" s="26" t="n">
        <x:v>2583</x:v>
      </x:c>
      <x:c r="H50" s="24" t="str">
        <x:v>$ 26.000</x:v>
      </x:c>
      <x:c r="I50" s="24" t="str">
        <x:v>$ 0</x:v>
      </x:c>
      <x:c r="J50" s="24" t="str">
        <x:v>PRENDAS CONTROL</x:v>
      </x:c>
      <x:c r="K50" s="24" t="str">
        <x:v>No</x:v>
      </x:c>
      <x:c r="L50" s="24" t="str">
        <x:v>Precio sugerido 0 visible.</x:v>
      </x:c>
    </x:row>
    <x:row r="51">
      <x:c r="A51" s="24" t="n">
        <x:v>50</x:v>
      </x:c>
      <x:c r="B51" s="24" t="str">
        <x:v>Combo Bienestar2514</x:v>
      </x:c>
      <x:c r="C51" s="24" t="str">
        <x:v>Bienestar</x:v>
      </x:c>
      <x:c r="D51" s="24" t="str">
        <x:v>Bienestar / Combo</x:v>
      </x:c>
      <x:c r="E51" s="24" t="str">
        <x:v>Combo bienestar</x:v>
      </x:c>
      <x:c r="F51" s="24" t="str">
        <x:v>Variable</x:v>
      </x:c>
      <x:c r="G51" s="26" t="n">
        <x:v>900</x:v>
      </x:c>
      <x:c r="H51" s="24" t="str">
        <x:v>$ 70.200</x:v>
      </x:c>
      <x:c r="I51" s="24" t="str">
        <x:v>Variable</x:v>
      </x:c>
      <x:c r="J51" s="24" t="str">
        <x:v>PRENDAS CONTROL</x:v>
      </x:c>
      <x:c r="K51" s="24" t="str">
        <x:v>No</x:v>
      </x:c>
      <x:c r="L51" s="24" t="str">
        <x:v>Producto combo.</x:v>
      </x:c>
    </x:row>
    <x:row r="52">
      <x:c r="A52" s="24" t="n">
        <x:v>51</x:v>
      </x:c>
      <x:c r="B52" s="24" t="str">
        <x:v>Corrector De Juanete2625</x:v>
      </x:c>
      <x:c r="C52" s="24" t="str">
        <x:v>Belleza</x:v>
      </x:c>
      <x:c r="D52" s="24" t="str">
        <x:v>Bienestar / Ortopedia</x:v>
      </x:c>
      <x:c r="E52" s="24" t="str">
        <x:v>Corrector de juanete</x:v>
      </x:c>
      <x:c r="F52" s="24" t="str">
        <x:v>Simple</x:v>
      </x:c>
      <x:c r="G52" s="26"/>
      <x:c r="H52" s="24" t="str">
        <x:v>$ 13.707</x:v>
      </x:c>
      <x:c r="I52" s="24" t="str">
        <x:v>$ 13.707</x:v>
      </x:c>
      <x:c r="J52" s="24" t="str">
        <x:v>PRENDAS CONTROL</x:v>
      </x:c>
      <x:c r="K52" s="24" t="str">
        <x:v>No</x:v>
      </x:c>
      <x:c r="L52" s="24" t="str">
        <x:v>Parte derecha del screenshot cortada; stock no visible completo.</x:v>
      </x:c>
    </x:row>
  </x:sheetData>
  <x:conditionalFormatting sqref="K2:K52">
    <x:cfRule type="expression" dxfId="0" priority="1">
      <x:formula>$K2="Sí"</x:formula>
    </x:cfRule>
  </x:conditionalFormatting>
  <x:conditionalFormatting sqref="I2:I52">
    <x:cfRule type="expression" dxfId="1" priority="2">
      <x:formula>OR($I2="$ 0",$I2="Variable")</x:formula>
    </x:cfRule>
  </x:conditionalFormatting>
  <x:conditionalFormatting sqref="G2:G52">
    <x:cfRule type="dataBar" priority="3">
      <x:dataBar>
        <x:cfvo type="min"/>
        <x:cfvo type="max"/>
        <x:color rgb="F39A33"/>
      </x:dataBar>
      <x:extLst>
        <x:ext xmlns:x14="http://schemas.microsoft.com/office/spreadsheetml/2009/9/main" uri="{B025F937-C7B1-47D3-B67F-A62EFF666E3E}">
          <x14:id>{86936E0A-2858-AB4D-24BA-B575C4449693}</x14:id>
        </x:ext>
      </x:extLst>
    </x:cfRule>
  </x:conditionalFormatting>
  <x:pageMargins left="0.7" right="0.7" top="0.75" bottom="0.75" header="0.3" footer="0.3"/>
  <x:tableParts count="1">
    <x:tablePart xmlns:r="http://schemas.openxmlformats.org/officeDocument/2006/relationships" r:id="Ra3b5742cd02b4752"/>
  </x:tableParts>
  <x:extLst>
    <x:ext xmlns:x14="http://schemas.microsoft.com/office/spreadsheetml/2009/9/main" xmlns:xm="http://schemas.microsoft.com/office/excel/2006/main" uri="{78C0D931-6437-407d-A8EE-F0AAD7539E65}">
      <x14:conditionalFormattings>
        <x14:conditionalFormatting>
          <x14:cfRule type="dataBar" priority="3" id="{86936E0A-2858-AB4D-24BA-B575C4449693}">
            <x14:dataBar gradient="1">
              <x14:cfvo type="min"/>
              <x14:cfvo type="max"/>
              <x14:fillColor rgb="F39A33"/>
            </x14:dataBar>
          </x14:cfRule>
          <xm:sqref>G2:G52</xm:sqref>
        </x14:conditionalFormatting>
      </x14:conditionalFormattings>
    </x:ext>
  </x:extLst>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14" hidden="0" customWidth="1"/>
    <x:col min="4" max="4" width="60" hidden="0" customWidth="1"/>
  </x:cols>
  <x:sheetData>
    <x:row r="1">
      <x:c r="A1" s="12" t="str">
        <x:v>Categoría final interpretada</x:v>
      </x:c>
      <x:c r="B1" s="12" t="str">
        <x:v>Cantidad productos muestra</x:v>
      </x:c>
      <x:c r="C1" s="12" t="str">
        <x:v>% muestra</x:v>
      </x:c>
      <x:c r="D1" s="12" t="str">
        <x:v>Comentario</x:v>
      </x:c>
    </x:row>
    <x:row r="2">
      <x:c r="A2" s="24" t="str">
        <x:v>Belleza / Fajas</x:v>
      </x:c>
      <x:c r="B2" s="26" t="n">
        <x:f>COUNTIF('Catalogo visible'!D:D,A2)</x:f>
        <x:v>32</x:v>
      </x:c>
      <x:c r="C2" s="28" t="n">
        <x:f>IFERROR(B2/$B$9,0)</x:f>
        <x:v>0.6274509803921569</x:v>
      </x:c>
      <x:c r="D2" s="24" t="str"/>
    </x:row>
    <x:row r="3">
      <x:c r="A3" s="24" t="str">
        <x:v>Moda / Ropa deportiva</x:v>
      </x:c>
      <x:c r="B3" s="26" t="n">
        <x:f>COUNTIF('Catalogo visible'!D:D,A3)</x:f>
        <x:v>7</x:v>
      </x:c>
      <x:c r="C3" s="28" t="n">
        <x:f>IFERROR(B3/$B$9,0)</x:f>
        <x:v>0.13725490196078433</x:v>
      </x:c>
      <x:c r="D3" s="24" t="str"/>
    </x:row>
    <x:row r="4">
      <x:c r="A4" s="24" t="str">
        <x:v>Bienestar / Compresión</x:v>
      </x:c>
      <x:c r="B4" s="26" t="n">
        <x:f>COUNTIF('Catalogo visible'!D:D,A4)</x:f>
        <x:v>4</x:v>
      </x:c>
      <x:c r="C4" s="28" t="n">
        <x:f>IFERROR(B4/$B$9,0)</x:f>
        <x:v>0.0784313725490196</x:v>
      </x:c>
      <x:c r="D4" s="24" t="str"/>
    </x:row>
    <x:row r="5">
      <x:c r="A5" s="24" t="str">
        <x:v>Bienestar / Ortopedia</x:v>
      </x:c>
      <x:c r="B5" s="26" t="n">
        <x:f>COUNTIF('Catalogo visible'!D:D,A5)</x:f>
        <x:v>2</x:v>
      </x:c>
      <x:c r="C5" s="28" t="n">
        <x:f>IFERROR(B5/$B$9,0)</x:f>
        <x:v>0.0392156862745098</x:v>
      </x:c>
      <x:c r="D5" s="24" t="str"/>
    </x:row>
    <x:row r="6">
      <x:c r="A6" s="24" t="str">
        <x:v>Bienestar / Suplementos</x:v>
      </x:c>
      <x:c r="B6" s="26" t="n">
        <x:f>COUNTIF('Catalogo visible'!D:D,A6)</x:f>
        <x:v>1</x:v>
      </x:c>
      <x:c r="C6" s="28" t="n">
        <x:f>IFERROR(B6/$B$9,0)</x:f>
        <x:v>0.0196078431372549</x:v>
      </x:c>
      <x:c r="D6" s="24" t="str"/>
    </x:row>
    <x:row r="7">
      <x:c r="A7" s="24" t="str">
        <x:v>Bienestar / Combo</x:v>
      </x:c>
      <x:c r="B7" s="26" t="n">
        <x:f>COUNTIF('Catalogo visible'!D:D,A7)</x:f>
        <x:v>1</x:v>
      </x:c>
      <x:c r="C7" s="28" t="n">
        <x:f>IFERROR(B7/$B$9,0)</x:f>
        <x:v>0.0196078431372549</x:v>
      </x:c>
      <x:c r="D7" s="24" t="str"/>
    </x:row>
    <x:row r="8">
      <x:c r="A8" s="24" t="str">
        <x:v>Cuidado personal</x:v>
      </x:c>
      <x:c r="B8" s="26" t="n">
        <x:f>COUNTIF('Catalogo visible'!D:D,A8)</x:f>
        <x:v>4</x:v>
      </x:c>
      <x:c r="C8" s="28" t="n">
        <x:f>IFERROR(B8/$B$9,0)</x:f>
        <x:v>0.0784313725490196</x:v>
      </x:c>
      <x:c r="D8" s="24" t="str"/>
    </x:row>
    <x:row r="9">
      <x:c r="A9" s="33" t="str">
        <x:v>Total muestra catalogo visible</x:v>
      </x:c>
      <x:c r="B9" s="34" t="n">
        <x:f>COUNTA('Catalogo visible'!B:B)-1</x:f>
        <x:v>51</x:v>
      </x:c>
      <x:c r="C9" s="35" t="n">
        <x:f>1</x:f>
        <x:v>1</x:v>
      </x:c>
      <x:c r="D9" s="33" t="str">
        <x:v>Productos únicos identificados desde pantallazos.</x:v>
      </x:c>
    </x:row>
  </x:sheetData>
  <x:conditionalFormatting sqref="B2:B8">
    <x:cfRule type="dataBar" priority="1">
      <x:dataBar>
        <x:cfvo type="min"/>
        <x:cfvo type="max"/>
        <x:color rgb="49A8FF"/>
      </x:dataBar>
      <x:extLst>
        <x:ext xmlns:x14="http://schemas.microsoft.com/office/spreadsheetml/2009/9/main" uri="{B025F937-C7B1-47D3-B67F-A62EFF666E3E}">
          <x14:id>{ABF54170-8A83-682F-54CD-30E247C19305}</x14:id>
        </x:ext>
      </x:extLst>
    </x:cfRule>
  </x:conditionalFormatting>
  <x:pageMargins left="0.7" right="0.7" top="0.75" bottom="0.75" header="0.3" footer="0.3"/>
  <x:drawing xmlns:r="http://schemas.openxmlformats.org/officeDocument/2006/relationships" r:id="R5eecbda2d4904b41"/>
  <x:extLst>
    <x:ext xmlns:x14="http://schemas.microsoft.com/office/spreadsheetml/2009/9/main" xmlns:xm="http://schemas.microsoft.com/office/excel/2006/main" uri="{78C0D931-6437-407d-A8EE-F0AAD7539E65}">
      <x14:conditionalFormattings>
        <x14:conditionalFormatting>
          <x14:cfRule type="dataBar" priority="1" id="{ABF54170-8A83-682F-54CD-30E247C19305}">
            <x14:dataBar gradient="1">
              <x14:cfvo type="min"/>
              <x14:cfvo type="max"/>
              <x14:fillColor rgb="49A8FF"/>
            </x14:dataBar>
          </x14:cfRule>
          <xm:sqref>B2:B8</xm:sqref>
        </x14:conditionalFormatting>
      </x14:conditionalFormattings>
    </x:ext>
  </x:extLst>
</x:worksheet>
</file>

<file path=xl/worksheets/sheet4.xml><?xml version="1.0" encoding="utf-8"?>
<x:worksheet xmlns:x="http://schemas.openxmlformats.org/spreadsheetml/2006/main">
  <x:sheetFormatPr defaultRowHeight="15"/>
  <x:cols>
    <x:col min="2" max="2" width="28" hidden="0" customWidth="1"/>
    <x:col min="15" max="15" width="52" hidden="0" customWidth="1"/>
    <x:col min="20" max="20" width="52" hidden="0" customWidth="1"/>
    <x:col min="1" max="1" width="6" hidden="0" customWidth="1"/>
    <x:col min="3" max="3" width="7.670000076293945" hidden="0" customWidth="1"/>
    <x:col min="4" max="4" width="7.670000076293945" hidden="0" customWidth="1"/>
    <x:col min="5" max="5" width="25" hidden="0" customWidth="1"/>
    <x:col min="6" max="6" width="24" hidden="0" customWidth="1"/>
    <x:col min="7" max="7" width="11.4399995803833" hidden="0" customWidth="1"/>
    <x:col min="8" max="8" width="36" hidden="0" customWidth="1"/>
    <x:col min="9" max="9" width="10.770000457763672" hidden="0" customWidth="1"/>
    <x:col min="10" max="10" width="11.039999961853027" hidden="0" customWidth="1"/>
    <x:col min="11" max="11" width="7" hidden="0" customWidth="1"/>
    <x:col min="12" max="12" width="14" hidden="0" customWidth="1"/>
    <x:col min="13" max="13" width="12.520000457763672" hidden="0" customWidth="1"/>
    <x:col min="14" max="14" width="15.609999656677246" hidden="0" customWidth="1"/>
    <x:col min="16" max="16" width="24.899999618530273" hidden="0" customWidth="1"/>
    <x:col min="17" max="17" width="18.170000076293945" hidden="0" customWidth="1"/>
    <x:col min="18" max="18" width="11.569999694824219" hidden="0" customWidth="1"/>
    <x:col min="19" max="19" width="21.530000686645508" hidden="0" customWidth="1"/>
  </x:cols>
  <x:sheetData>
    <x:row r="1" ht="15" hidden="0" customHeight="1">
      <x:c r="A1" s="51" t="str">
        <x:v>#</x:v>
      </x:c>
      <x:c r="B1" s="51" t="str">
        <x:v>Producto</x:v>
      </x:c>
      <x:c r="C1" s="51" t="str">
        <x:v>ID visible</x:v>
      </x:c>
      <x:c r="D1" s="51" t="str">
        <x:v>SKU</x:v>
      </x:c>
      <x:c r="E1" s="51" t="str">
        <x:v>Categoría visible</x:v>
      </x:c>
      <x:c r="F1" s="51" t="str">
        <x:v>Categoría final</x:v>
      </x:c>
      <x:c r="G1" s="51" t="str">
        <x:v>Tipo producto</x:v>
      </x:c>
      <x:c r="H1" s="51" t="str">
        <x:v>Variaciones visibles</x:v>
      </x:c>
      <x:c r="I1" s="51" t="str">
        <x:v>Stock público</x:v>
      </x:c>
      <x:c r="J1" s="51" t="str">
        <x:v>Stock privado</x:v>
      </x:c>
      <x:c r="K1" s="51" t="str">
        <x:v>Bodega</x:v>
      </x:c>
      <x:c r="L1" s="51" t="str">
        <x:v>Precio proveedor</x:v>
      </x:c>
      <x:c r="M1" s="51" t="str">
        <x:v>Precio sugerido</x:v>
      </x:c>
      <x:c r="N1" s="51" t="str">
        <x:v># imágenes visibles</x:v>
      </x:c>
      <x:c r="O1" s="51" t="str">
        <x:v>Descripción</x:v>
      </x:c>
      <x:c r="P1" s="51" t="str">
        <x:v>Descripción excede screenshot</x:v>
      </x:c>
      <x:c r="Q1" s="51" t="str">
        <x:v>Tiene especificaciones</x:v>
      </x:c>
      <x:c r="R1" s="51" t="str">
        <x:v>Tiene garantía</x:v>
      </x:c>
      <x:c r="S1" s="51" t="str">
        <x:v>Tiene contenido comercial</x:v>
      </x:c>
      <x:c r="T1" s="51" t="str">
        <x:v>Observación cruda</x:v>
      </x:c>
    </x:row>
    <x:row r="2" ht="52.79999923706055" hidden="0" customHeight="1">
      <x:c r="A2" s="24" t="n">
        <x:v>1</x:v>
      </x:c>
      <x:c r="B2" s="24" t="str">
        <x:v>Short Cremallera Tiro Alto267</x:v>
      </x:c>
      <x:c r="C2" s="24" t="str">
        <x:v>104631</x:v>
      </x:c>
      <x:c r="D2" s="24" t="str">
        <x:v>REF 267</x:v>
      </x:c>
      <x:c r="E2" s="24" t="str">
        <x:v>Belleza</x:v>
      </x:c>
      <x:c r="F2" s="24" t="str">
        <x:v>Belleza / Prendas de control</x:v>
      </x:c>
      <x:c r="G2" s="24" t="str">
        <x:v>Variable</x:v>
      </x:c>
      <x:c r="H2" s="24" t="str">
        <x:v>15 variaciones visibles: colores negro/beige; tallas XS a 4XL</x:v>
      </x:c>
      <x:c r="I2" s="26" t="n">
        <x:v>6376</x:v>
      </x:c>
      <x:c r="J2" s="26" t="n">
        <x:v>0</x:v>
      </x:c>
      <x:c r="K2" s="24" t="str">
        <x:v>Medellín</x:v>
      </x:c>
      <x:c r="L2" s="52" t="n">
        <x:v>46378</x:v>
      </x:c>
      <x:c r="M2" s="52" t="n">
        <x:v>46378</x:v>
      </x:c>
      <x:c r="N2" s="24" t="n">
        <x:v>3</x:v>
      </x:c>
      <x:c r="O2" s="24" t="str">
        <x:v>Mayor cubrimiento desde abdomen medio hasta rodillas. Doble refuerzo abdominal; moldea abdomen alto, medio, bajo y cintura. Disponible en tallas XS a 4XL en negro y beige.</x:v>
      </x:c>
      <x:c r="P2" s="24" t="str">
        <x:v>No</x:v>
      </x:c>
      <x:c r="Q2" s="24" t="str">
        <x:v>Sí</x:v>
      </x:c>
      <x:c r="R2" s="24" t="str">
        <x:v>No visible</x:v>
      </x:c>
      <x:c r="S2" s="24" t="str">
        <x:v>No</x:v>
      </x:c>
      <x:c r="T2" s="24" t="str">
        <x:v>Producto de marca propia con muchas variaciones, alto stock público y precio proveedor = precio sugerido visible.</x:v>
      </x:c>
    </x:row>
    <x:row r="3" ht="39.599998474121094" hidden="0" customHeight="1">
      <x:c r="A3" s="24" t="n">
        <x:v>2</x:v>
      </x:c>
      <x:c r="B3" s="24" t="str">
        <x:v>Panty Brasilero2651</x:v>
      </x:c>
      <x:c r="C3" s="24" t="str">
        <x:v>457727</x:v>
      </x:c>
      <x:c r="D3" s="24" t="str">
        <x:v>No visible</x:v>
      </x:c>
      <x:c r="E3" s="24" t="str">
        <x:v>Belleza</x:v>
      </x:c>
      <x:c r="F3" s="24" t="str">
        <x:v>Belleza / Prendas de control</x:v>
      </x:c>
      <x:c r="G3" s="24" t="str">
        <x:v>Variable</x:v>
      </x:c>
      <x:c r="H3" s="24" t="str">
        <x:v>10 variaciones visibles: colores negro/beige; tallas XS a XL</x:v>
      </x:c>
      <x:c r="I3" s="26" t="n">
        <x:v>5195</x:v>
      </x:c>
      <x:c r="J3" s="26" t="n">
        <x:v>0</x:v>
      </x:c>
      <x:c r="K3" s="24" t="str">
        <x:v>Medellín</x:v>
      </x:c>
      <x:c r="L3" s="52" t="n">
        <x:v>24840</x:v>
      </x:c>
      <x:c r="M3" s="52" t="n">
        <x:v>24840</x:v>
      </x:c>
      <x:c r="N3" s="24" t="n">
        <x:v>3</x:v>
      </x:c>
      <x:c r="O3" s="24" t="str">
        <x:v>Descripción visible aparece como texto JSON sin renderizar correctamente.</x:v>
      </x:c>
      <x:c r="P3" s="24" t="str">
        <x:v>Sí</x:v>
      </x:c>
      <x:c r="Q3" s="24" t="str">
        <x:v>No claro</x:v>
      </x:c>
      <x:c r="R3" s="24" t="str">
        <x:v>No visible</x:v>
      </x:c>
      <x:c r="S3" s="24" t="str">
        <x:v>No</x:v>
      </x:c>
      <x:c r="T3" s="24" t="str">
        <x:v>Ficha con descripción mal renderizada tipo JSON/texto sin procesar. Alto stock público y precio proveedor = precio sugerido visible.</x:v>
      </x:c>
    </x:row>
    <x:row r="4" ht="39.599998474121094" hidden="0" customHeight="1">
      <x:c r="A4" s="24" t="n">
        <x:v>3</x:v>
      </x:c>
      <x:c r="B4" s="24" t="str">
        <x:v>Camisilla De Hombre258</x:v>
      </x:c>
      <x:c r="C4" s="24" t="str">
        <x:v>603988</x:v>
      </x:c>
      <x:c r="D4" s="24" t="str">
        <x:v>REF 258</x:v>
      </x:c>
      <x:c r="E4" s="24" t="str">
        <x:v>Ropa Deportiva / Salud / Deportes / Bienestar</x:v>
      </x:c>
      <x:c r="F4" s="24" t="str">
        <x:v>Ropa deportiva / Prendas de control</x:v>
      </x:c>
      <x:c r="G4" s="24" t="str">
        <x:v>Variable</x:v>
      </x:c>
      <x:c r="H4" s="24" t="str">
        <x:v>10 variaciones visibles: colores blanco/negro; tallas S a 2XL</x:v>
      </x:c>
      <x:c r="I4" s="26" t="n">
        <x:v>30954</x:v>
      </x:c>
      <x:c r="J4" s="26" t="n">
        <x:v>0</x:v>
      </x:c>
      <x:c r="K4" s="24" t="str">
        <x:v>Medellín</x:v>
      </x:c>
      <x:c r="L4" s="52" t="n">
        <x:v>26000</x:v>
      </x:c>
      <x:c r="M4" s="52" t="n">
        <x:v>26000</x:v>
      </x:c>
      <x:c r="N4" s="24" t="n">
        <x:v>3</x:v>
      </x:c>
      <x:c r="O4" s="24" t="str">
        <x:v>Camisilla hombre con compresión moderada en abdomen y espalda; uso diario o deportivo. Descripción continúa por debajo del screenshot.</x:v>
      </x:c>
      <x:c r="P4" s="24" t="str">
        <x:v>Sí</x:v>
      </x:c>
      <x:c r="Q4" s="24" t="str">
        <x:v>Sí</x:v>
      </x:c>
      <x:c r="R4" s="24" t="str">
        <x:v>No visible</x:v>
      </x:c>
      <x:c r="S4" s="24" t="str">
        <x:v>No</x:v>
      </x:c>
      <x:c r="T4" s="24" t="str">
        <x:v>Muy alto stock público. Producto de nicho/marca propia con variaciones por talla y color. Precio proveedor = precio sugerido visible.</x:v>
      </x:c>
    </x:row>
    <x:row r="5" ht="39.599998474121094" hidden="0" customHeight="1">
      <x:c r="A5" s="24" t="n">
        <x:v>4</x:v>
      </x:c>
      <x:c r="B5" s="24" t="str">
        <x:v>Body De Compresion Con Manga 2670</x:v>
      </x:c>
      <x:c r="C5" s="24" t="str">
        <x:v>No visible</x:v>
      </x:c>
      <x:c r="D5" s="24" t="str">
        <x:v>REF 2670</x:v>
      </x:c>
      <x:c r="E5" s="24" t="str">
        <x:v>Belleza</x:v>
      </x:c>
      <x:c r="F5" s="24" t="str">
        <x:v>Belleza / Prendas de control</x:v>
      </x:c>
      <x:c r="G5" s="24" t="str">
        <x:v>Variable</x:v>
      </x:c>
      <x:c r="H5" s="24" t="str">
        <x:v>18 variaciones visibles aprox.: colores blanco/beige/negro; tallas S a 2XL</x:v>
      </x:c>
      <x:c r="I5" s="26" t="n">
        <x:v>2826</x:v>
      </x:c>
      <x:c r="J5" s="26" t="n">
        <x:v>0</x:v>
      </x:c>
      <x:c r="K5" s="24" t="str">
        <x:v>Medellín</x:v>
      </x:c>
      <x:c r="L5" s="52" t="n">
        <x:v>25931</x:v>
      </x:c>
      <x:c r="M5" s="52" t="n">
        <x:v>25931</x:v>
      </x:c>
      <x:c r="N5" s="24" t="n">
        <x:v>3</x:v>
      </x:c>
      <x:c r="O5" s="24" t="str">
        <x:v>Body Control Manga Corta; texto comercial de realce, moldeo y combinación con outfits. Disponible en negro, blanco y beige.</x:v>
      </x:c>
      <x:c r="P5" s="24" t="str">
        <x:v>No</x:v>
      </x:c>
      <x:c r="Q5" s="24" t="str">
        <x:v>Sí</x:v>
      </x:c>
      <x:c r="R5" s="24" t="str">
        <x:v>No visible</x:v>
      </x:c>
      <x:c r="S5" s="24" t="str">
        <x:v>No</x:v>
      </x:c>
      <x:c r="T5" s="24" t="str">
        <x:v>Producto de marca propia con variaciones amplias. Precio proveedor = precio sugerido visible.</x:v>
      </x:c>
    </x:row>
    <x:row r="6">
      <x:c r="A6" s="24" t="n">
        <x:v>5</x:v>
      </x:c>
      <x:c r="B6" s="24" t="str">
        <x:v>Cinturilla Avispa2626</x:v>
      </x:c>
      <x:c r="C6" s="24" t="str">
        <x:v>No visible</x:v>
      </x:c>
      <x:c r="D6" s="24" t="str">
        <x:v>No visible</x:v>
      </x:c>
      <x:c r="E6" s="24" t="str">
        <x:v>Belleza</x:v>
      </x:c>
      <x:c r="F6" s="24" t="str">
        <x:v>Belleza / Prendas de control</x:v>
      </x:c>
      <x:c r="G6" s="24" t="str">
        <x:v>Variable</x:v>
      </x:c>
      <x:c r="H6" s="24" t="str">
        <x:v>8 variaciones visibles: color negro; tallas XS, S, M, L, XL, 2XL, 3XL y 4XL</x:v>
      </x:c>
      <x:c r="I6" s="24" t="n">
        <x:v>2722</x:v>
      </x:c>
      <x:c r="J6" s="24" t="n">
        <x:v>0</x:v>
      </x:c>
      <x:c r="K6" s="24" t="str">
        <x:v>Medellín</x:v>
      </x:c>
      <x:c r="L6" s="24" t="n">
        <x:v>41281</x:v>
      </x:c>
      <x:c r="M6" s="24" t="n">
        <x:v>41281</x:v>
      </x:c>
      <x:c r="N6" s="24" t="n">
        <x:v>3</x:v>
      </x:c>
      <x:c r="O6" s="24" t="str">
        <x:v>Define tu figura con comodidad y estilo. Cinturilla en powernet con elástico reforzado para moldear la cintura. Disponible en negro y en tallas de la S a la 2XL según texto visible; tabla muestra también XS, 3XL y 4XL.</x:v>
      </x:c>
      <x:c r="P6" s="24" t="str">
        <x:v>No</x:v>
      </x:c>
      <x:c r="Q6" s="24" t="str">
        <x:v>Sí</x:v>
      </x:c>
      <x:c r="R6" s="24" t="str">
        <x:v>No visible</x:v>
      </x:c>
      <x:c r="S6" s="24" t="str">
        <x:v>No</x:v>
      </x:c>
      <x:c r="T6" s="24" t="str">
        <x:v>Producto de marca propia con múltiples tallas, alto stock público y precio proveedor = precio sugerido visible. Requiere validar consistencia entre tallas descritas y tallas configuradas.</x:v>
      </x:c>
    </x:row>
    <x:row r="7">
      <x:c r="A7" s="24" t="n">
        <x:v>6</x:v>
      </x:c>
      <x:c r="B7" s="24" t="str">
        <x:v>Short Con Broche Tiro Alto2642</x:v>
      </x:c>
      <x:c r="C7" s="24" t="str">
        <x:v>117394</x:v>
      </x:c>
      <x:c r="D7" s="24" t="str">
        <x:v>REF 2642</x:v>
      </x:c>
      <x:c r="E7" s="24" t="str">
        <x:v>Belleza</x:v>
      </x:c>
      <x:c r="F7" s="24" t="str">
        <x:v>Belleza / Prendas de control</x:v>
      </x:c>
      <x:c r="G7" s="24" t="str">
        <x:v>Variable</x:v>
      </x:c>
      <x:c r="H7" s="24" t="str">
        <x:v>15 variaciones visibles aprox.: colores negro/beige; tallas XS a 4XL</x:v>
      </x:c>
      <x:c r="I7" s="24" t="n">
        <x:v>9438</x:v>
      </x:c>
      <x:c r="J7" s="24" t="n">
        <x:v>0</x:v>
      </x:c>
      <x:c r="K7" s="24" t="str">
        <x:v>Medellín</x:v>
      </x:c>
      <x:c r="L7" s="24" t="n">
        <x:v>47684</x:v>
      </x:c>
      <x:c r="M7" s="24" t="n">
        <x:v>47684</x:v>
      </x:c>
      <x:c r="N7" s="24" t="n">
        <x:v>3</x:v>
      </x:c>
      <x:c r="O7" s="24" t="str">
        <x:v>Mayor cubrimiento en abdomen bajo y alto; doble refuerzo en powernet. Moldea abdomen, ayuda a prevenir roce de piernas y tiene broche de tres posiciones.</x:v>
      </x:c>
      <x:c r="P7" s="24" t="str">
        <x:v>No</x:v>
      </x:c>
      <x:c r="Q7" s="24" t="str">
        <x:v>Sí</x:v>
      </x:c>
      <x:c r="R7" s="24" t="str">
        <x:v>No visible</x:v>
      </x:c>
      <x:c r="S7" s="24" t="str">
        <x:v>No</x:v>
      </x:c>
      <x:c r="T7" s="24" t="str">
        <x:v>Producto de marca propia con alto stock público, múltiples variaciones y precio proveedor = precio sugerido visible. La descripción presenta algunos caracteres/encoding defectuosos.</x:v>
      </x:c>
    </x:row>
    <x:row r="8">
      <x:c r="A8" s="24" t="n">
        <x:v>7</x:v>
      </x:c>
      <x:c r="B8" s="24" t="str">
        <x:v>Faja Pierna Corta2605</x:v>
      </x:c>
      <x:c r="C8" s="24" t="str">
        <x:v>58037</x:v>
      </x:c>
      <x:c r="D8" s="24" t="str">
        <x:v>REF 2605</x:v>
      </x:c>
      <x:c r="E8" s="24" t="str">
        <x:v>Belleza</x:v>
      </x:c>
      <x:c r="F8" s="24" t="str">
        <x:v>Belleza / Prendas de control</x:v>
      </x:c>
      <x:c r="G8" s="24" t="str">
        <x:v>Variable</x:v>
      </x:c>
      <x:c r="H8" s="24" t="str">
        <x:v>14 variaciones visibles aprox.: colores negro/beige; tallas XS a 3XL</x:v>
      </x:c>
      <x:c r="I8" s="24" t="n">
        <x:v>9783</x:v>
      </x:c>
      <x:c r="J8" s="24" t="n">
        <x:v>0</x:v>
      </x:c>
      <x:c r="K8" s="24" t="str">
        <x:v>Medellín</x:v>
      </x:c>
      <x:c r="L8" s="24" t="n">
        <x:v>80460</x:v>
      </x:c>
      <x:c r="M8" s="24" t="n">
        <x:v>80460</x:v>
      </x:c>
      <x:c r="N8" s="24" t="n">
        <x:v>3</x:v>
      </x:c>
      <x:c r="O8" s="24" t="str">
        <x:v>Faja de alta compresión ideal para uso diario y posquirúrgico. Texto visible menciona abdomen alto, realce de glúteos, control de abdomen, pierna corta con blonda siliconada y tres posiciones.</x:v>
      </x:c>
      <x:c r="P8" s="24" t="str">
        <x:v>No</x:v>
      </x:c>
      <x:c r="Q8" s="24" t="str">
        <x:v>Sí</x:v>
      </x:c>
      <x:c r="R8" s="24" t="str">
        <x:v>No visible</x:v>
      </x:c>
      <x:c r="S8" s="24" t="str">
        <x:v>No</x:v>
      </x:c>
      <x:c r="T8" s="24" t="str">
        <x:v>Producto central de marca propia con muy alto stock público y precio proveedor = precio sugerido visible. Producto de nicho con potencial de explicar volumen si tiene venta recurrente.</x:v>
      </x:c>
    </x:row>
    <x:row r="9">
      <x:c r="A9" s="24"/>
      <x:c r="B9" s="24"/>
      <x:c r="C9" s="24"/>
      <x:c r="D9" s="24"/>
      <x:c r="E9" s="24"/>
      <x:c r="F9" s="24"/>
      <x:c r="G9" s="24"/>
      <x:c r="H9" s="24"/>
      <x:c r="I9" s="24"/>
      <x:c r="J9" s="24"/>
      <x:c r="K9" s="24"/>
      <x:c r="L9" s="24"/>
      <x:c r="M9" s="24"/>
      <x:c r="N9" s="24"/>
      <x:c r="O9" s="24"/>
      <x:c r="P9" s="24"/>
      <x:c r="Q9" s="24"/>
      <x:c r="R9" s="24"/>
      <x:c r="S9" s="24"/>
      <x:c r="T9" s="24"/>
    </x:row>
    <x:row r="10">
      <x:c r="A10" s="24"/>
      <x:c r="B10" s="24"/>
      <x:c r="C10" s="24"/>
      <x:c r="D10" s="24"/>
      <x:c r="E10" s="24"/>
      <x:c r="F10" s="24"/>
      <x:c r="G10" s="24"/>
      <x:c r="H10" s="24"/>
      <x:c r="I10" s="24"/>
      <x:c r="J10" s="24"/>
      <x:c r="K10" s="24"/>
      <x:c r="L10" s="24"/>
      <x:c r="M10" s="24"/>
      <x:c r="N10" s="24"/>
      <x:c r="O10" s="24"/>
      <x:c r="P10" s="24"/>
      <x:c r="Q10" s="24"/>
      <x:c r="R10" s="24"/>
      <x:c r="S10" s="24"/>
      <x:c r="T10" s="24"/>
    </x:row>
    <x:row r="11">
      <x:c r="A11" s="24"/>
      <x:c r="B11" s="24"/>
      <x:c r="C11" s="24"/>
      <x:c r="D11" s="24"/>
      <x:c r="E11" s="24"/>
      <x:c r="F11" s="24"/>
      <x:c r="G11" s="24"/>
      <x:c r="H11" s="24"/>
      <x:c r="I11" s="24"/>
      <x:c r="J11" s="24"/>
      <x:c r="K11" s="24"/>
      <x:c r="L11" s="24"/>
      <x:c r="M11" s="24"/>
      <x:c r="N11" s="24"/>
      <x:c r="O11" s="24"/>
      <x:c r="P11" s="24"/>
      <x:c r="Q11" s="24"/>
      <x:c r="R11" s="24"/>
      <x:c r="S11" s="24"/>
      <x:c r="T11" s="24"/>
    </x:row>
    <x:row r="12">
      <x:c r="A12" s="24"/>
      <x:c r="B12" s="24"/>
      <x:c r="C12" s="24"/>
      <x:c r="D12" s="24"/>
      <x:c r="E12" s="24"/>
      <x:c r="F12" s="24"/>
      <x:c r="G12" s="24"/>
      <x:c r="H12" s="24"/>
      <x:c r="I12" s="24"/>
      <x:c r="J12" s="24"/>
      <x:c r="K12" s="24"/>
      <x:c r="L12" s="24"/>
      <x:c r="M12" s="24"/>
      <x:c r="N12" s="24"/>
      <x:c r="O12" s="24"/>
      <x:c r="P12" s="24"/>
      <x:c r="Q12" s="24"/>
      <x:c r="R12" s="24"/>
      <x:c r="S12" s="24"/>
      <x:c r="T12" s="24"/>
    </x:row>
    <x:row r="13">
      <x:c r="A13" s="24"/>
      <x:c r="B13" s="24"/>
      <x:c r="C13" s="24"/>
      <x:c r="D13" s="24"/>
      <x:c r="E13" s="24"/>
      <x:c r="F13" s="24"/>
      <x:c r="G13" s="24"/>
      <x:c r="H13" s="24"/>
      <x:c r="I13" s="24"/>
      <x:c r="J13" s="24"/>
      <x:c r="K13" s="24"/>
      <x:c r="L13" s="24"/>
      <x:c r="M13" s="24"/>
      <x:c r="N13" s="24"/>
      <x:c r="O13" s="24"/>
      <x:c r="P13" s="24"/>
      <x:c r="Q13" s="24"/>
      <x:c r="R13" s="24"/>
      <x:c r="S13" s="24"/>
      <x:c r="T13" s="24"/>
    </x:row>
    <x:row r="14">
      <x:c r="A14" s="24"/>
      <x:c r="B14" s="24"/>
      <x:c r="C14" s="24"/>
      <x:c r="D14" s="24"/>
      <x:c r="E14" s="24"/>
      <x:c r="F14" s="24"/>
      <x:c r="G14" s="24"/>
      <x:c r="H14" s="24"/>
      <x:c r="I14" s="24"/>
      <x:c r="J14" s="24"/>
      <x:c r="K14" s="24"/>
      <x:c r="L14" s="24"/>
      <x:c r="M14" s="24"/>
      <x:c r="N14" s="24"/>
      <x:c r="O14" s="24"/>
      <x:c r="P14" s="24"/>
      <x:c r="Q14" s="24"/>
      <x:c r="R14" s="24"/>
      <x:c r="S14" s="24"/>
      <x:c r="T14" s="24"/>
    </x:row>
    <x:row r="15">
      <x:c r="A15" s="24"/>
      <x:c r="B15" s="24"/>
      <x:c r="C15" s="24"/>
      <x:c r="D15" s="24"/>
      <x:c r="E15" s="24"/>
      <x:c r="F15" s="24"/>
      <x:c r="G15" s="24"/>
      <x:c r="H15" s="24"/>
      <x:c r="I15" s="24"/>
      <x:c r="J15" s="24"/>
      <x:c r="K15" s="24"/>
      <x:c r="L15" s="24"/>
      <x:c r="M15" s="24"/>
      <x:c r="N15" s="24"/>
      <x:c r="O15" s="24"/>
      <x:c r="P15" s="24"/>
      <x:c r="Q15" s="24"/>
      <x:c r="R15" s="24"/>
      <x:c r="S15" s="24"/>
      <x:c r="T15" s="24"/>
    </x:row>
    <x:row r="16">
      <x:c r="A16" s="24"/>
      <x:c r="B16" s="24"/>
      <x:c r="C16" s="24"/>
      <x:c r="D16" s="24"/>
      <x:c r="E16" s="24"/>
      <x:c r="F16" s="24"/>
      <x:c r="G16" s="24"/>
      <x:c r="H16" s="24"/>
      <x:c r="I16" s="24"/>
      <x:c r="J16" s="24"/>
      <x:c r="K16" s="24"/>
      <x:c r="L16" s="24"/>
      <x:c r="M16" s="24"/>
      <x:c r="N16" s="24"/>
      <x:c r="O16" s="24"/>
      <x:c r="P16" s="24"/>
      <x:c r="Q16" s="24"/>
      <x:c r="R16" s="24"/>
      <x:c r="S16" s="24"/>
      <x:c r="T16" s="24"/>
    </x:row>
    <x:row r="17">
      <x:c r="A17" s="24"/>
      <x:c r="B17" s="24"/>
      <x:c r="C17" s="24"/>
      <x:c r="D17" s="24"/>
      <x:c r="E17" s="24"/>
      <x:c r="F17" s="24"/>
      <x:c r="G17" s="24"/>
      <x:c r="H17" s="24"/>
      <x:c r="I17" s="24"/>
      <x:c r="J17" s="24"/>
      <x:c r="K17" s="24"/>
      <x:c r="L17" s="24"/>
      <x:c r="M17" s="24"/>
      <x:c r="N17" s="24"/>
      <x:c r="O17" s="24"/>
      <x:c r="P17" s="24"/>
      <x:c r="Q17" s="24"/>
      <x:c r="R17" s="24"/>
      <x:c r="S17" s="24"/>
      <x:c r="T17" s="24"/>
    </x:row>
    <x:row r="18">
      <x:c r="A18" s="24"/>
      <x:c r="B18" s="24"/>
      <x:c r="C18" s="24"/>
      <x:c r="D18" s="24"/>
      <x:c r="E18" s="24"/>
      <x:c r="F18" s="24"/>
      <x:c r="G18" s="24"/>
      <x:c r="H18" s="24"/>
      <x:c r="I18" s="24"/>
      <x:c r="J18" s="24"/>
      <x:c r="K18" s="24"/>
      <x:c r="L18" s="24"/>
      <x:c r="M18" s="24"/>
      <x:c r="N18" s="24"/>
      <x:c r="O18" s="24"/>
      <x:c r="P18" s="24"/>
      <x:c r="Q18" s="24"/>
      <x:c r="R18" s="24"/>
      <x:c r="S18" s="24"/>
      <x:c r="T18" s="24"/>
    </x:row>
    <x:row r="19">
      <x:c r="A19" s="24"/>
      <x:c r="B19" s="24"/>
      <x:c r="C19" s="24"/>
      <x:c r="D19" s="24"/>
      <x:c r="E19" s="24"/>
      <x:c r="F19" s="24"/>
      <x:c r="G19" s="24"/>
      <x:c r="H19" s="24"/>
      <x:c r="I19" s="24"/>
      <x:c r="J19" s="24"/>
      <x:c r="K19" s="24"/>
      <x:c r="L19" s="24"/>
      <x:c r="M19" s="24"/>
      <x:c r="N19" s="24"/>
      <x:c r="O19" s="24"/>
      <x:c r="P19" s="24"/>
      <x:c r="Q19" s="24"/>
      <x:c r="R19" s="24"/>
      <x:c r="S19" s="24"/>
      <x:c r="T19" s="24"/>
    </x:row>
    <x:row r="20">
      <x:c r="A20" s="24"/>
      <x:c r="B20" s="24"/>
      <x:c r="C20" s="24"/>
      <x:c r="D20" s="24"/>
      <x:c r="E20" s="24"/>
      <x:c r="F20" s="24"/>
      <x:c r="G20" s="24"/>
      <x:c r="H20" s="24"/>
      <x:c r="I20" s="24"/>
      <x:c r="J20" s="24"/>
      <x:c r="K20" s="24"/>
      <x:c r="L20" s="24"/>
      <x:c r="M20" s="24"/>
      <x:c r="N20" s="24"/>
      <x:c r="O20" s="24"/>
      <x:c r="P20" s="24"/>
      <x:c r="Q20" s="24"/>
      <x:c r="R20" s="24"/>
      <x:c r="S20" s="24"/>
      <x:c r="T20" s="24"/>
    </x:row>
    <x:row r="21">
      <x:c r="A21" s="24"/>
      <x:c r="B21" s="24"/>
      <x:c r="C21" s="24"/>
      <x:c r="D21" s="24"/>
      <x:c r="E21" s="24"/>
      <x:c r="F21" s="24"/>
      <x:c r="G21" s="24"/>
      <x:c r="H21" s="24"/>
      <x:c r="I21" s="24"/>
      <x:c r="J21" s="24"/>
      <x:c r="K21" s="24"/>
      <x:c r="L21" s="24"/>
      <x:c r="M21" s="24"/>
      <x:c r="N21" s="24"/>
      <x:c r="O21" s="24"/>
      <x:c r="P21" s="24"/>
      <x:c r="Q21" s="24"/>
      <x:c r="R21" s="24"/>
      <x:c r="S21" s="24"/>
      <x:c r="T21" s="24"/>
    </x:row>
    <x:row r="22">
      <x:c r="A22" s="24"/>
      <x:c r="B22" s="24"/>
      <x:c r="C22" s="24"/>
      <x:c r="D22" s="24"/>
      <x:c r="E22" s="24"/>
      <x:c r="F22" s="24"/>
      <x:c r="G22" s="24"/>
      <x:c r="H22" s="24"/>
      <x:c r="I22" s="24"/>
      <x:c r="J22" s="24"/>
      <x:c r="K22" s="24"/>
      <x:c r="L22" s="24"/>
      <x:c r="M22" s="24"/>
      <x:c r="N22" s="24"/>
      <x:c r="O22" s="24"/>
      <x:c r="P22" s="24"/>
      <x:c r="Q22" s="24"/>
      <x:c r="R22" s="24"/>
      <x:c r="S22" s="24"/>
      <x:c r="T22" s="24"/>
    </x:row>
    <x:row r="23">
      <x:c r="A23" s="24"/>
      <x:c r="B23" s="24"/>
      <x:c r="C23" s="24"/>
      <x:c r="D23" s="24"/>
      <x:c r="E23" s="24"/>
      <x:c r="F23" s="24"/>
      <x:c r="G23" s="24"/>
      <x:c r="H23" s="24"/>
      <x:c r="I23" s="24"/>
      <x:c r="J23" s="24"/>
      <x:c r="K23" s="24"/>
      <x:c r="L23" s="24"/>
      <x:c r="M23" s="24"/>
      <x:c r="N23" s="24"/>
      <x:c r="O23" s="24"/>
      <x:c r="P23" s="24"/>
      <x:c r="Q23" s="24"/>
      <x:c r="R23" s="24"/>
      <x:c r="S23" s="24"/>
      <x:c r="T23" s="24"/>
    </x:row>
    <x:row r="24">
      <x:c r="A24" s="24"/>
      <x:c r="B24" s="24"/>
      <x:c r="C24" s="24"/>
      <x:c r="D24" s="24"/>
      <x:c r="E24" s="24"/>
      <x:c r="F24" s="24"/>
      <x:c r="G24" s="24"/>
      <x:c r="H24" s="24"/>
      <x:c r="I24" s="24"/>
      <x:c r="J24" s="24"/>
      <x:c r="K24" s="24"/>
      <x:c r="L24" s="24"/>
      <x:c r="M24" s="24"/>
      <x:c r="N24" s="24"/>
      <x:c r="O24" s="24"/>
      <x:c r="P24" s="24"/>
      <x:c r="Q24" s="24"/>
      <x:c r="R24" s="24"/>
      <x:c r="S24" s="24"/>
      <x:c r="T24" s="24"/>
    </x:row>
    <x:row r="25">
      <x:c r="A25" s="24"/>
      <x:c r="B25" s="24"/>
      <x:c r="C25" s="24"/>
      <x:c r="D25" s="24"/>
      <x:c r="E25" s="24"/>
      <x:c r="F25" s="24"/>
      <x:c r="G25" s="24"/>
      <x:c r="H25" s="24"/>
      <x:c r="I25" s="24"/>
      <x:c r="J25" s="24"/>
      <x:c r="K25" s="24"/>
      <x:c r="L25" s="24"/>
      <x:c r="M25" s="24"/>
      <x:c r="N25" s="24"/>
      <x:c r="O25" s="24"/>
      <x:c r="P25" s="24"/>
      <x:c r="Q25" s="24"/>
      <x:c r="R25" s="24"/>
      <x:c r="S25" s="24"/>
      <x:c r="T25" s="24"/>
    </x:row>
    <x:row r="26">
      <x:c r="A26" s="24"/>
      <x:c r="B26" s="24"/>
      <x:c r="C26" s="24"/>
      <x:c r="D26" s="24"/>
      <x:c r="E26" s="24"/>
      <x:c r="F26" s="24"/>
      <x:c r="G26" s="24"/>
      <x:c r="H26" s="24"/>
      <x:c r="I26" s="24"/>
      <x:c r="J26" s="24"/>
      <x:c r="K26" s="24"/>
      <x:c r="L26" s="24"/>
      <x:c r="M26" s="24"/>
      <x:c r="N26" s="24"/>
      <x:c r="O26" s="24"/>
      <x:c r="P26" s="24"/>
      <x:c r="Q26" s="24"/>
      <x:c r="R26" s="24"/>
      <x:c r="S26" s="24"/>
      <x:c r="T26" s="24"/>
    </x:row>
    <x:row r="27">
      <x:c r="A27" s="24"/>
      <x:c r="B27" s="24"/>
      <x:c r="C27" s="24"/>
      <x:c r="D27" s="24"/>
      <x:c r="E27" s="24"/>
      <x:c r="F27" s="24"/>
      <x:c r="G27" s="24"/>
      <x:c r="H27" s="24"/>
      <x:c r="I27" s="24"/>
      <x:c r="J27" s="24"/>
      <x:c r="K27" s="24"/>
      <x:c r="L27" s="24"/>
      <x:c r="M27" s="24"/>
      <x:c r="N27" s="24"/>
      <x:c r="O27" s="24"/>
      <x:c r="P27" s="24"/>
      <x:c r="Q27" s="24"/>
      <x:c r="R27" s="24"/>
      <x:c r="S27" s="24"/>
      <x:c r="T27" s="24"/>
    </x:row>
    <x:row r="28">
      <x:c r="A28" s="24"/>
      <x:c r="B28" s="24"/>
      <x:c r="C28" s="24"/>
      <x:c r="D28" s="24"/>
      <x:c r="E28" s="24"/>
      <x:c r="F28" s="24"/>
      <x:c r="G28" s="24"/>
      <x:c r="H28" s="24"/>
      <x:c r="I28" s="24"/>
      <x:c r="J28" s="24"/>
      <x:c r="K28" s="24"/>
      <x:c r="L28" s="24"/>
      <x:c r="M28" s="24"/>
      <x:c r="N28" s="24"/>
      <x:c r="O28" s="24"/>
      <x:c r="P28" s="24"/>
      <x:c r="Q28" s="24"/>
      <x:c r="R28" s="24"/>
      <x:c r="S28" s="24"/>
      <x:c r="T28" s="24"/>
    </x:row>
    <x:row r="29">
      <x:c r="A29" s="24"/>
      <x:c r="B29" s="24"/>
      <x:c r="C29" s="24"/>
      <x:c r="D29" s="24"/>
      <x:c r="E29" s="24"/>
      <x:c r="F29" s="24"/>
      <x:c r="G29" s="24"/>
      <x:c r="H29" s="24"/>
      <x:c r="I29" s="24"/>
      <x:c r="J29" s="24"/>
      <x:c r="K29" s="24"/>
      <x:c r="L29" s="24"/>
      <x:c r="M29" s="24"/>
      <x:c r="N29" s="24"/>
      <x:c r="O29" s="24"/>
      <x:c r="P29" s="24"/>
      <x:c r="Q29" s="24"/>
      <x:c r="R29" s="24"/>
      <x:c r="S29" s="24"/>
      <x:c r="T29" s="24"/>
    </x:row>
    <x:row r="30">
      <x:c r="A30" s="24"/>
      <x:c r="B30" s="24"/>
      <x:c r="C30" s="24"/>
      <x:c r="D30" s="24"/>
      <x:c r="E30" s="24"/>
      <x:c r="F30" s="24"/>
      <x:c r="G30" s="24"/>
      <x:c r="H30" s="24"/>
      <x:c r="I30" s="24"/>
      <x:c r="J30" s="24"/>
      <x:c r="K30" s="24"/>
      <x:c r="L30" s="24"/>
      <x:c r="M30" s="24"/>
      <x:c r="N30" s="24"/>
      <x:c r="O30" s="24"/>
      <x:c r="P30" s="24"/>
      <x:c r="Q30" s="24"/>
      <x:c r="R30" s="24"/>
      <x:c r="S30" s="24"/>
      <x:c r="T30" s="24"/>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70" hidden="0" customWidth="1"/>
    <x:col min="3" max="3" width="30" hidden="0" customWidth="1"/>
  </x:cols>
  <x:sheetData>
    <x:row r="1" ht="15" hidden="0" customHeight="1">
      <x:c r="A1" s="55" t="str">
        <x:v>Dato faltante</x:v>
      </x:c>
      <x:c r="B1" s="55" t="str">
        <x:v>Por qué se necesita</x:v>
      </x:c>
      <x:c r="C1" s="55" t="str">
        <x:v>Fuente sugerida</x:v>
      </x:c>
      <x:c r="D1" s="24"/>
      <x:c r="E1" s="24"/>
      <x:c r="F1" s="24"/>
      <x:c r="G1" s="24"/>
      <x:c r="H1" s="24"/>
      <x:c r="I1" s="24"/>
      <x:c r="J1" s="24"/>
      <x:c r="K1" s="24"/>
      <x:c r="L1" s="24"/>
      <x:c r="M1" s="24"/>
      <x:c r="N1" s="24"/>
      <x:c r="O1" s="24"/>
      <x:c r="P1" s="24"/>
      <x:c r="Q1" s="24"/>
      <x:c r="R1" s="24"/>
      <x:c r="S1" s="24"/>
      <x:c r="T1" s="24"/>
    </x:row>
    <x:row r="2" ht="26.399999618530273" hidden="0" customHeight="1">
      <x:c r="A2" s="24" t="str">
        <x:v>Total de productos públicos vs privados</x:v>
      </x:c>
      <x:c r="B2" s="24" t="str">
        <x:v>El supplier es mixto y se observan cards de producto privado; hay que separar visibilidad real del catálogo.</x:v>
      </x:c>
      <x:c r="C2" s="24" t="str">
        <x:v>Data / BI</x:v>
      </x:c>
      <x:c r="D2" s="24"/>
      <x:c r="E2" s="24"/>
      <x:c r="F2" s="24"/>
      <x:c r="G2" s="24"/>
      <x:c r="H2" s="24"/>
      <x:c r="I2" s="24"/>
      <x:c r="J2" s="24"/>
      <x:c r="K2" s="24"/>
      <x:c r="L2" s="24"/>
      <x:c r="M2" s="24"/>
      <x:c r="N2" s="24"/>
      <x:c r="O2" s="24"/>
      <x:c r="P2" s="24"/>
      <x:c r="Q2" s="24"/>
      <x:c r="R2" s="24"/>
      <x:c r="S2" s="24"/>
      <x:c r="T2" s="24"/>
    </x:row>
    <x:row r="3" ht="15" hidden="0" customHeight="1">
      <x:c r="A3" s="24" t="str">
        <x:v>Productos con al menos 1 orden</x:v>
      </x:c>
      <x:c r="B3" s="24" t="str">
        <x:v>Medir productividad real del catálogo, no solo cantidad publicada.</x:v>
      </x:c>
      <x:c r="C3" s="24" t="str">
        <x:v>Data / BI</x:v>
      </x:c>
      <x:c r="D3" s="24"/>
      <x:c r="E3" s="24"/>
      <x:c r="F3" s="24"/>
      <x:c r="G3" s="24"/>
      <x:c r="H3" s="24"/>
      <x:c r="I3" s="24"/>
      <x:c r="J3" s="24"/>
      <x:c r="K3" s="24"/>
      <x:c r="L3" s="24"/>
      <x:c r="M3" s="24"/>
      <x:c r="N3" s="24"/>
      <x:c r="O3" s="24"/>
      <x:c r="P3" s="24"/>
      <x:c r="Q3" s="24"/>
      <x:c r="R3" s="24"/>
      <x:c r="S3" s="24"/>
      <x:c r="T3" s="24"/>
    </x:row>
    <x:row r="4" ht="15" hidden="0" customHeight="1">
      <x:c r="A4" s="24" t="str">
        <x:v>Órdenes y GMV por producto</x:v>
      </x:c>
      <x:c r="B4" s="24" t="str">
        <x:v>Identificar productos estrella y concentración del revenue.</x:v>
      </x:c>
      <x:c r="C4" s="24" t="str">
        <x:v>Data / BI</x:v>
      </x:c>
      <x:c r="D4" s="24"/>
      <x:c r="E4" s="24"/>
      <x:c r="F4" s="24"/>
      <x:c r="G4" s="24"/>
      <x:c r="H4" s="24"/>
      <x:c r="I4" s="24"/>
      <x:c r="J4" s="24"/>
      <x:c r="K4" s="24"/>
      <x:c r="L4" s="24"/>
      <x:c r="M4" s="24"/>
      <x:c r="N4" s="24"/>
      <x:c r="O4" s="24"/>
      <x:c r="P4" s="24"/>
      <x:c r="Q4" s="24"/>
      <x:c r="R4" s="24"/>
      <x:c r="S4" s="24"/>
      <x:c r="T4" s="24"/>
    </x:row>
    <x:row r="5" ht="15" hidden="0" customHeight="1">
      <x:c r="A5" s="24" t="str">
        <x:v>Distribución de órdenes por categoría</x:v>
      </x:c>
      <x:c r="B5" s="24" t="str">
        <x:v>Validar si las ventas vienen de fajas/control, bienestar, cuidado personal o ropa deportiva.</x:v>
      </x:c>
      <x:c r="C5" s="24" t="str">
        <x:v>Data / BI</x:v>
      </x:c>
      <x:c r="D5" s="24"/>
      <x:c r="E5" s="24"/>
      <x:c r="F5" s="24"/>
      <x:c r="G5" s="24"/>
      <x:c r="H5" s="24"/>
      <x:c r="I5" s="24"/>
      <x:c r="J5" s="24"/>
      <x:c r="K5" s="24"/>
      <x:c r="L5" s="24"/>
      <x:c r="M5" s="24"/>
      <x:c r="N5" s="24"/>
      <x:c r="O5" s="24"/>
      <x:c r="P5" s="24"/>
      <x:c r="Q5" s="24"/>
      <x:c r="R5" s="24"/>
      <x:c r="S5" s="24"/>
      <x:c r="T5" s="24"/>
    </x:row>
    <x:row r="6" ht="15" hidden="0" customHeight="1">
      <x:c r="A6" s="24" t="str">
        <x:v>Ventas por dropshipper</x:v>
      </x:c>
      <x:c r="B6" s="24" t="str">
        <x:v>Entender si 970 dropshippers son recurrentes o exploratorios.</x:v>
      </x:c>
      <x:c r="C6" s="24" t="str">
        <x:v>Data / BI</x:v>
      </x:c>
      <x:c r="D6" s="24"/>
      <x:c r="E6" s="24"/>
      <x:c r="F6" s="24"/>
      <x:c r="G6" s="24"/>
      <x:c r="H6" s="24"/>
      <x:c r="I6" s="24"/>
      <x:c r="J6" s="24"/>
      <x:c r="K6" s="24"/>
      <x:c r="L6" s="24"/>
      <x:c r="M6" s="24"/>
      <x:c r="N6" s="24"/>
      <x:c r="O6" s="24"/>
      <x:c r="P6" s="24"/>
      <x:c r="Q6" s="24"/>
      <x:c r="R6" s="24"/>
      <x:c r="S6" s="24"/>
      <x:c r="T6" s="24"/>
    </x:row>
    <x:row r="7" ht="26.399999618530273" hidden="0" customHeight="1">
      <x:c r="A7" s="24" t="str">
        <x:v>Stock total por producto y por variación</x:v>
      </x:c>
      <x:c r="B7" s="24" t="str">
        <x:v>Muchos productos son variables y el stock visible puede esconder concentración por talla/color.</x:v>
      </x:c>
      <x:c r="C7" s="24" t="str">
        <x:v>Data / BI / Producto</x:v>
      </x:c>
      <x:c r="D7" s="24"/>
      <x:c r="E7" s="24"/>
      <x:c r="F7" s="24"/>
      <x:c r="G7" s="24"/>
      <x:c r="H7" s="24"/>
      <x:c r="I7" s="24"/>
      <x:c r="J7" s="24"/>
      <x:c r="K7" s="24"/>
      <x:c r="L7" s="24"/>
      <x:c r="M7" s="24"/>
      <x:c r="N7" s="24"/>
      <x:c r="O7" s="24"/>
      <x:c r="P7" s="24"/>
      <x:c r="Q7" s="24"/>
      <x:c r="R7" s="24"/>
      <x:c r="S7" s="24"/>
      <x:c r="T7" s="24"/>
    </x:row>
    <x:row r="8" ht="26.399999618530273" hidden="0" customHeight="1">
      <x:c r="A8" s="24" t="str">
        <x:v>Productos con precio sugerido en 0 o variable</x:v>
      </x:c>
      <x:c r="B8" s="24" t="str">
        <x:v>Hay varios productos con precio sugerido 0/variable visible; revisar configuración y experiencia para dropshipper.</x:v>
      </x:c>
      <x:c r="C8" s="24" t="str">
        <x:v>Producto / Data</x:v>
      </x:c>
      <x:c r="D8" s="24"/>
      <x:c r="E8" s="24"/>
      <x:c r="F8" s="24"/>
      <x:c r="G8" s="24"/>
      <x:c r="H8" s="24"/>
      <x:c r="I8" s="24"/>
      <x:c r="J8" s="24"/>
      <x:c r="K8" s="24"/>
      <x:c r="L8" s="24"/>
      <x:c r="M8" s="24"/>
      <x:c r="N8" s="24"/>
      <x:c r="O8" s="24"/>
      <x:c r="P8" s="24"/>
      <x:c r="Q8" s="24"/>
      <x:c r="R8" s="24"/>
      <x:c r="S8" s="24"/>
      <x:c r="T8" s="24"/>
    </x:row>
    <x:row r="9" ht="26.399999618530273" hidden="0" customHeight="1">
      <x:c r="A9" s="24" t="str">
        <x:v>Cancelaciones, rechazos y reclamos por producto</x:v>
      </x:c>
      <x:c r="B9" s="24" t="str">
        <x:v>Calificación general es óptima, pero se requiere salud operativa granular.</x:v>
      </x:c>
      <x:c r="C9" s="24" t="str">
        <x:v>Data / Operaciones</x:v>
      </x:c>
      <x:c r="D9" s="24"/>
      <x:c r="E9" s="24"/>
      <x:c r="F9" s="24"/>
      <x:c r="G9" s="24"/>
      <x:c r="H9" s="24"/>
      <x:c r="I9" s="24"/>
      <x:c r="J9" s="24"/>
      <x:c r="K9" s="24"/>
      <x:c r="L9" s="24"/>
      <x:c r="M9" s="24"/>
      <x:c r="N9" s="24"/>
      <x:c r="O9" s="24"/>
      <x:c r="P9" s="24"/>
      <x:c r="Q9" s="24"/>
      <x:c r="R9" s="24"/>
      <x:c r="S9" s="24"/>
      <x:c r="T9" s="24"/>
    </x:row>
    <x:row r="10" ht="26.399999618530273" hidden="0" customHeight="1">
      <x:c r="A10" s="24" t="str">
        <x:v>Tiempo desde publicación hasta primera orden</x:v>
      </x:c>
      <x:c r="B10" s="24" t="str">
        <x:v>Medir activación de nuevo catálogo.</x:v>
      </x:c>
      <x:c r="C10" s="24" t="str">
        <x:v>Data / BI</x:v>
      </x:c>
      <x:c r="D10" s="24"/>
      <x:c r="E10" s="24"/>
      <x:c r="F10" s="24"/>
      <x:c r="G10" s="24"/>
      <x:c r="H10" s="24"/>
      <x:c r="I10" s="24"/>
      <x:c r="J10" s="24"/>
      <x:c r="K10" s="24"/>
      <x:c r="L10" s="24"/>
      <x:c r="M10" s="24"/>
      <x:c r="N10" s="24"/>
      <x:c r="O10" s="24"/>
      <x:c r="P10" s="24"/>
      <x:c r="Q10" s="24"/>
      <x:c r="R10" s="24"/>
      <x:c r="S10" s="24"/>
      <x:c r="T10" s="24"/>
    </x:row>
    <x:row r="11" ht="26.399999618530273" hidden="0" customHeight="1">
      <x:c r="A11" s="24" t="str">
        <x:v>Margen o diferencial precio proveedor vs sugerido</x:v>
      </x:c>
      <x:c r="B11" s="24" t="str">
        <x:v>Priorizar productos con mejor oportunidad comercial y evitar inconsistencias.</x:v>
      </x:c>
      <x:c r="C11" s="24" t="str">
        <x:v>Data / BI</x:v>
      </x:c>
      <x:c r="D11" s="24"/>
      <x:c r="E11" s="24"/>
      <x:c r="F11" s="24"/>
      <x:c r="G11" s="24"/>
      <x:c r="H11" s="24"/>
      <x:c r="I11" s="24"/>
      <x:c r="J11" s="24"/>
      <x:c r="K11" s="24"/>
      <x:c r="L11" s="24"/>
      <x:c r="M11" s="24"/>
      <x:c r="N11" s="24"/>
      <x:c r="O11" s="24"/>
      <x:c r="P11" s="24"/>
      <x:c r="Q11" s="24"/>
      <x:c r="R11" s="24"/>
      <x:c r="S11" s="24"/>
      <x:c r="T11" s="24"/>
    </x:row>
    <x:row r="12" ht="26.399999618530273" hidden="0" customHeight="1">
      <x:c r="A12" s="24" t="str">
        <x:v>Brecha específica de visibilidad PRENDAS CONTROL</x:v>
      </x:c>
      <x:c r="B12" s="24" t="str">
        <x:v>Se capturaron 51 productos en feed frente a 221 reportados en perfil. Hay 170 productos no observados manualmente; no asumir que todos son privados.</x:v>
      </x:c>
      <x:c r="C12" s="24" t="str">
        <x:v>Data / BI</x:v>
      </x:c>
      <x:c r="D12" s="24"/>
      <x:c r="E12" s="24"/>
      <x:c r="F12" s="24"/>
      <x:c r="G12" s="24"/>
      <x:c r="H12" s="24"/>
      <x:c r="I12" s="24"/>
      <x:c r="J12" s="24"/>
      <x:c r="K12" s="24"/>
      <x:c r="L12" s="24"/>
      <x:c r="M12" s="24"/>
      <x:c r="N12" s="24"/>
      <x:c r="O12" s="24"/>
      <x:c r="P12" s="24"/>
      <x:c r="Q12" s="24"/>
      <x:c r="R12" s="24"/>
      <x:c r="S12" s="24"/>
      <x:c r="T12" s="24"/>
    </x:row>
    <x:row r="13" ht="26.399999618530273" hidden="0" customHeight="1">
      <x:c r="A13" s="24" t="str">
        <x:v>Separación marca propia vs catálogo para dropshipping</x:v>
      </x:c>
      <x:c r="B13" s="24" t="str">
        <x:v>El proveedor parece mixto: marca propia de prendas de control y posible catálogo complementario. Se requiere clasificar productos por origen/estrategia.</x:v>
      </x:c>
      <x:c r="C13" s="24" t="str">
        <x:v>Producto / Data / Supplier Success</x:v>
      </x:c>
      <x:c r="D13" s="24"/>
      <x:c r="E13" s="24"/>
      <x:c r="F13" s="24"/>
      <x:c r="G13" s="24"/>
      <x:c r="H13" s="24"/>
      <x:c r="I13" s="24"/>
      <x:c r="J13" s="24"/>
      <x:c r="K13" s="24"/>
      <x:c r="L13" s="24"/>
      <x:c r="M13" s="24"/>
      <x:c r="N13" s="24"/>
      <x:c r="O13" s="24"/>
      <x:c r="P13" s="24"/>
      <x:c r="Q13" s="24"/>
      <x:c r="R13" s="24"/>
      <x:c r="S13" s="24"/>
      <x:c r="T13" s="24"/>
    </x:row>
    <x:row r="14" ht="26.399999618530273" hidden="0" customHeight="1">
      <x:c r="A14" s="24" t="str">
        <x:v>Precios por variación y margen real</x:v>
      </x:c>
      <x:c r="B14" s="24" t="str">
        <x:v>En productos revisados el precio proveedor y sugerido visible coinciden; validar si hay margen, reglas de precio o configuración especial para dropshippers.</x:v>
      </x:c>
      <x:c r="C14" s="24" t="str">
        <x:v>Data / BI / Producto</x:v>
      </x:c>
      <x:c r="D14" s="24"/>
      <x:c r="E14" s="24"/>
      <x:c r="F14" s="24"/>
      <x:c r="G14" s="24"/>
      <x:c r="H14" s="24"/>
      <x:c r="I14" s="24"/>
      <x:c r="J14" s="24"/>
      <x:c r="K14" s="24"/>
      <x:c r="L14" s="24"/>
      <x:c r="M14" s="24"/>
      <x:c r="N14" s="24"/>
      <x:c r="O14" s="24"/>
      <x:c r="P14" s="24"/>
      <x:c r="Q14" s="24"/>
      <x:c r="R14" s="24"/>
      <x:c r="S14" s="24"/>
      <x:c r="T14" s="24"/>
    </x:row>
    <x:row r="15">
      <x:c r="A15" s="24" t="str">
        <x:v>Criterio de inclusión de PRENDAS CONTROL en benchmark</x:v>
      </x:c>
      <x:c r="B15" s="24" t="str">
        <x:v>Definir si entra como proveedor comparable o como caso especial; requiere separar órdenes de marca propia, productos públicos, privados y posible catálogo para dropshipping.</x:v>
      </x:c>
      <x:c r="C15" s="24" t="str">
        <x:v>Data / BI / Producto / Supplier Success</x:v>
      </x:c>
      <x:c r="D15" s="24"/>
      <x:c r="E15" s="24"/>
      <x:c r="F15" s="24"/>
      <x:c r="G15" s="24"/>
      <x:c r="H15" s="24"/>
      <x:c r="I15" s="24"/>
      <x:c r="J15" s="24"/>
      <x:c r="K15" s="24"/>
      <x:c r="L15" s="24"/>
      <x:c r="M15" s="24"/>
      <x:c r="N15" s="24"/>
      <x:c r="O15" s="24"/>
      <x:c r="P15" s="24"/>
      <x:c r="Q15" s="24"/>
      <x:c r="R15" s="24"/>
      <x:c r="S15" s="24"/>
      <x:c r="T15" s="24"/>
    </x:row>
    <x:row r="16">
      <x:c r="A16" s="24"/>
      <x:c r="B16" s="24"/>
      <x:c r="C16" s="24"/>
      <x:c r="D16" s="24"/>
      <x:c r="E16" s="24"/>
      <x:c r="F16" s="24"/>
      <x:c r="G16" s="24"/>
      <x:c r="H16" s="24"/>
      <x:c r="I16" s="24"/>
      <x:c r="J16" s="24"/>
      <x:c r="K16" s="24"/>
      <x:c r="L16" s="24"/>
      <x:c r="M16" s="24"/>
      <x:c r="N16" s="24"/>
      <x:c r="O16" s="24"/>
      <x:c r="P16" s="24"/>
      <x:c r="Q16" s="24"/>
      <x:c r="R16" s="24"/>
      <x:c r="S16" s="24"/>
      <x:c r="T16" s="24"/>
    </x:row>
    <x:row r="17">
      <x:c r="A17" s="24"/>
      <x:c r="B17" s="24"/>
      <x:c r="C17" s="24"/>
      <x:c r="D17" s="24"/>
      <x:c r="E17" s="24"/>
      <x:c r="F17" s="24"/>
      <x:c r="G17" s="24"/>
      <x:c r="H17" s="24"/>
      <x:c r="I17" s="24"/>
      <x:c r="J17" s="24"/>
      <x:c r="K17" s="24"/>
      <x:c r="L17" s="24"/>
      <x:c r="M17" s="24"/>
      <x:c r="N17" s="24"/>
      <x:c r="O17" s="24"/>
      <x:c r="P17" s="24"/>
      <x:c r="Q17" s="24"/>
      <x:c r="R17" s="24"/>
      <x:c r="S17" s="24"/>
      <x:c r="T17" s="24"/>
    </x:row>
    <x:row r="18">
      <x:c r="A18" s="24"/>
      <x:c r="B18" s="24"/>
      <x:c r="C18" s="24"/>
      <x:c r="D18" s="24"/>
      <x:c r="E18" s="24"/>
      <x:c r="F18" s="24"/>
      <x:c r="G18" s="24"/>
      <x:c r="H18" s="24"/>
      <x:c r="I18" s="24"/>
      <x:c r="J18" s="24"/>
      <x:c r="K18" s="24"/>
      <x:c r="L18" s="24"/>
      <x:c r="M18" s="24"/>
      <x:c r="N18" s="24"/>
      <x:c r="O18" s="24"/>
      <x:c r="P18" s="24"/>
      <x:c r="Q18" s="24"/>
      <x:c r="R18" s="24"/>
      <x:c r="S18" s="24"/>
      <x:c r="T18" s="24"/>
    </x:row>
    <x:row r="19">
      <x:c r="A19" s="24"/>
      <x:c r="B19" s="24"/>
      <x:c r="C19" s="24"/>
      <x:c r="D19" s="24"/>
      <x:c r="E19" s="24"/>
      <x:c r="F19" s="24"/>
      <x:c r="G19" s="24"/>
      <x:c r="H19" s="24"/>
      <x:c r="I19" s="24"/>
      <x:c r="J19" s="24"/>
      <x:c r="K19" s="24"/>
      <x:c r="L19" s="24"/>
      <x:c r="M19" s="24"/>
      <x:c r="N19" s="24"/>
      <x:c r="O19" s="24"/>
      <x:c r="P19" s="24"/>
      <x:c r="Q19" s="24"/>
      <x:c r="R19" s="24"/>
      <x:c r="S19" s="24"/>
      <x:c r="T19" s="24"/>
    </x:row>
    <x:row r="20">
      <x:c r="A20" s="24"/>
      <x:c r="B20" s="24"/>
      <x:c r="C20" s="24"/>
      <x:c r="D20" s="24"/>
      <x:c r="E20" s="24"/>
      <x:c r="F20" s="24"/>
      <x:c r="G20" s="24"/>
      <x:c r="H20" s="24"/>
      <x:c r="I20" s="24"/>
      <x:c r="J20" s="24"/>
      <x:c r="K20" s="24"/>
      <x:c r="L20" s="24"/>
      <x:c r="M20" s="24"/>
      <x:c r="N20" s="24"/>
      <x:c r="O20" s="24"/>
      <x:c r="P20" s="24"/>
      <x:c r="Q20" s="24"/>
      <x:c r="R20" s="24"/>
      <x:c r="S20" s="24"/>
      <x:c r="T20" s="24"/>
    </x:row>
    <x:row r="21">
      <x:c r="A21" s="24"/>
      <x:c r="B21" s="24"/>
      <x:c r="C21" s="24"/>
      <x:c r="D21" s="24"/>
      <x:c r="E21" s="24"/>
      <x:c r="F21" s="24"/>
      <x:c r="G21" s="24"/>
      <x:c r="H21" s="24"/>
      <x:c r="I21" s="24"/>
      <x:c r="J21" s="24"/>
      <x:c r="K21" s="24"/>
      <x:c r="L21" s="24"/>
      <x:c r="M21" s="24"/>
      <x:c r="N21" s="24"/>
      <x:c r="O21" s="24"/>
      <x:c r="P21" s="24"/>
      <x:c r="Q21" s="24"/>
      <x:c r="R21" s="24"/>
      <x:c r="S21" s="24"/>
      <x:c r="T21" s="24"/>
    </x:row>
    <x:row r="22">
      <x:c r="A22" s="24"/>
      <x:c r="B22" s="24"/>
      <x:c r="C22" s="24"/>
      <x:c r="D22" s="24"/>
      <x:c r="E22" s="24"/>
      <x:c r="F22" s="24"/>
      <x:c r="G22" s="24"/>
      <x:c r="H22" s="24"/>
      <x:c r="I22" s="24"/>
      <x:c r="J22" s="24"/>
      <x:c r="K22" s="24"/>
      <x:c r="L22" s="24"/>
      <x:c r="M22" s="24"/>
      <x:c r="N22" s="24"/>
      <x:c r="O22" s="24"/>
      <x:c r="P22" s="24"/>
      <x:c r="Q22" s="24"/>
      <x:c r="R22" s="24"/>
      <x:c r="S22" s="24"/>
      <x:c r="T22" s="24"/>
    </x:row>
    <x:row r="23">
      <x:c r="A23" s="24"/>
      <x:c r="B23" s="24"/>
      <x:c r="C23" s="24"/>
      <x:c r="D23" s="24"/>
      <x:c r="E23" s="24"/>
      <x:c r="F23" s="24"/>
      <x:c r="G23" s="24"/>
      <x:c r="H23" s="24"/>
      <x:c r="I23" s="24"/>
      <x:c r="J23" s="24"/>
      <x:c r="K23" s="24"/>
      <x:c r="L23" s="24"/>
      <x:c r="M23" s="24"/>
      <x:c r="N23" s="24"/>
      <x:c r="O23" s="24"/>
      <x:c r="P23" s="24"/>
      <x:c r="Q23" s="24"/>
      <x:c r="R23" s="24"/>
      <x:c r="S23" s="24"/>
      <x:c r="T23" s="24"/>
    </x:row>
    <x:row r="24">
      <x:c r="A24" s="24"/>
      <x:c r="B24" s="24"/>
      <x:c r="C24" s="24"/>
      <x:c r="D24" s="24"/>
      <x:c r="E24" s="24"/>
      <x:c r="F24" s="24"/>
      <x:c r="G24" s="24"/>
      <x:c r="H24" s="24"/>
      <x:c r="I24" s="24"/>
      <x:c r="J24" s="24"/>
      <x:c r="K24" s="24"/>
      <x:c r="L24" s="24"/>
      <x:c r="M24" s="24"/>
      <x:c r="N24" s="24"/>
      <x:c r="O24" s="24"/>
      <x:c r="P24" s="24"/>
      <x:c r="Q24" s="24"/>
      <x:c r="R24" s="24"/>
      <x:c r="S24" s="24"/>
      <x:c r="T24" s="24"/>
    </x:row>
    <x:row r="25">
      <x:c r="A25" s="24"/>
      <x:c r="B25" s="24"/>
      <x:c r="C25" s="24"/>
      <x:c r="D25" s="24"/>
      <x:c r="E25" s="24"/>
      <x:c r="F25" s="24"/>
      <x:c r="G25" s="24"/>
      <x:c r="H25" s="24"/>
      <x:c r="I25" s="24"/>
      <x:c r="J25" s="24"/>
      <x:c r="K25" s="24"/>
      <x:c r="L25" s="24"/>
      <x:c r="M25" s="24"/>
      <x:c r="N25" s="24"/>
      <x:c r="O25" s="24"/>
      <x:c r="P25" s="24"/>
      <x:c r="Q25" s="24"/>
      <x:c r="R25" s="24"/>
      <x:c r="S25" s="24"/>
      <x:c r="T25" s="24"/>
    </x:row>
    <x:row r="26">
      <x:c r="A26" s="24"/>
      <x:c r="B26" s="24"/>
      <x:c r="C26" s="24"/>
      <x:c r="D26" s="24"/>
      <x:c r="E26" s="24"/>
      <x:c r="F26" s="24"/>
      <x:c r="G26" s="24"/>
      <x:c r="H26" s="24"/>
      <x:c r="I26" s="24"/>
      <x:c r="J26" s="24"/>
      <x:c r="K26" s="24"/>
      <x:c r="L26" s="24"/>
      <x:c r="M26" s="24"/>
      <x:c r="N26" s="24"/>
      <x:c r="O26" s="24"/>
      <x:c r="P26" s="24"/>
      <x:c r="Q26" s="24"/>
      <x:c r="R26" s="24"/>
      <x:c r="S26" s="24"/>
      <x:c r="T26" s="24"/>
    </x:row>
    <x:row r="27">
      <x:c r="A27" s="24"/>
      <x:c r="B27" s="24"/>
      <x:c r="C27" s="24"/>
      <x:c r="D27" s="24"/>
      <x:c r="E27" s="24"/>
      <x:c r="F27" s="24"/>
      <x:c r="G27" s="24"/>
      <x:c r="H27" s="24"/>
      <x:c r="I27" s="24"/>
      <x:c r="J27" s="24"/>
      <x:c r="K27" s="24"/>
      <x:c r="L27" s="24"/>
      <x:c r="M27" s="24"/>
      <x:c r="N27" s="24"/>
      <x:c r="O27" s="24"/>
      <x:c r="P27" s="24"/>
      <x:c r="Q27" s="24"/>
      <x:c r="R27" s="24"/>
      <x:c r="S27" s="24"/>
      <x:c r="T27" s="24"/>
    </x:row>
    <x:row r="28">
      <x:c r="A28" s="24"/>
      <x:c r="B28" s="24"/>
      <x:c r="C28" s="24"/>
      <x:c r="D28" s="24"/>
      <x:c r="E28" s="24"/>
      <x:c r="F28" s="24"/>
      <x:c r="G28" s="24"/>
      <x:c r="H28" s="24"/>
      <x:c r="I28" s="24"/>
      <x:c r="J28" s="24"/>
      <x:c r="K28" s="24"/>
      <x:c r="L28" s="24"/>
      <x:c r="M28" s="24"/>
      <x:c r="N28" s="24"/>
      <x:c r="O28" s="24"/>
      <x:c r="P28" s="24"/>
      <x:c r="Q28" s="24"/>
      <x:c r="R28" s="24"/>
      <x:c r="S28" s="24"/>
      <x:c r="T28" s="24"/>
    </x:row>
    <x:row r="29">
      <x:c r="A29" s="24"/>
      <x:c r="B29" s="24"/>
      <x:c r="C29" s="24"/>
      <x:c r="D29" s="24"/>
      <x:c r="E29" s="24"/>
      <x:c r="F29" s="24"/>
      <x:c r="G29" s="24"/>
      <x:c r="H29" s="24"/>
      <x:c r="I29" s="24"/>
      <x:c r="J29" s="24"/>
      <x:c r="K29" s="24"/>
      <x:c r="L29" s="24"/>
      <x:c r="M29" s="24"/>
      <x:c r="N29" s="24"/>
      <x:c r="O29" s="24"/>
      <x:c r="P29" s="24"/>
      <x:c r="Q29" s="24"/>
      <x:c r="R29" s="24"/>
      <x:c r="S29" s="24"/>
      <x:c r="T29" s="24"/>
    </x:row>
    <x:row r="30">
      <x:c r="A30" s="24"/>
      <x:c r="B30" s="24"/>
      <x:c r="C30" s="24"/>
      <x:c r="D30" s="24"/>
      <x:c r="E30" s="24"/>
      <x:c r="F30" s="24"/>
      <x:c r="G30" s="24"/>
      <x:c r="H30" s="24"/>
      <x:c r="I30" s="24"/>
      <x:c r="J30" s="24"/>
      <x:c r="K30" s="24"/>
      <x:c r="L30" s="24"/>
      <x:c r="M30" s="24"/>
      <x:c r="N30" s="24"/>
      <x:c r="O30" s="24"/>
      <x:c r="P30" s="24"/>
      <x:c r="Q30" s="24"/>
      <x:c r="R30" s="24"/>
      <x:c r="S30" s="24"/>
      <x:c r="T30" s="24"/>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00" hidden="0" customWidth="1"/>
  </x:cols>
  <x:sheetData>
    <x:row r="1" ht="15" hidden="0" customHeight="1">
      <x:c r="A1" s="57" t="str">
        <x:v>Sección</x:v>
      </x:c>
      <x:c r="B1" s="57" t="str">
        <x:v>Lectura preliminar</x:v>
      </x:c>
      <x:c r="C1" s="24"/>
      <x:c r="D1" s="24"/>
      <x:c r="E1" s="24"/>
      <x:c r="F1" s="24"/>
      <x:c r="G1" s="24"/>
      <x:c r="H1" s="24"/>
      <x:c r="I1" s="24"/>
      <x:c r="J1" s="24"/>
      <x:c r="K1" s="24"/>
      <x:c r="L1" s="24"/>
      <x:c r="M1" s="24"/>
      <x:c r="N1" s="24"/>
      <x:c r="O1" s="24"/>
      <x:c r="P1" s="24"/>
      <x:c r="Q1" s="24"/>
      <x:c r="R1" s="24"/>
      <x:c r="S1" s="24"/>
      <x:c r="T1" s="24"/>
    </x:row>
    <x:row r="2" ht="66" hidden="0" customHeight="1">
      <x:c r="A2" s="48" t="str">
        <x:v>Lectura general</x:v>
      </x:c>
      <x:c r="B2" s="24" t="str">
        <x:v>PRENDAS CONTROL / RAMON CANO entra como supplier mixto: tiene señales de marca propia especializada en prendas de control, pero dentro del catálogo también aparecen productos de bienestar/cuidado personal que funcionan como complementarios. No se debe eliminar del benchmark como Vitalcom, porque tiene comportamiento comercial de supplier dentro de Dropi, con 221 productos, 188.692 órdenes, 970 dropshippers, calificación óptima y despacho de 6 horas.</x:v>
      </x:c>
      <x:c r="C2" s="24"/>
      <x:c r="D2" s="24"/>
      <x:c r="E2" s="24"/>
      <x:c r="F2" s="24"/>
      <x:c r="G2" s="24"/>
      <x:c r="H2" s="24"/>
      <x:c r="I2" s="24"/>
      <x:c r="J2" s="24"/>
      <x:c r="K2" s="24"/>
      <x:c r="L2" s="24"/>
      <x:c r="M2" s="24"/>
      <x:c r="N2" s="24"/>
      <x:c r="O2" s="24"/>
      <x:c r="P2" s="24"/>
      <x:c r="Q2" s="24"/>
      <x:c r="R2" s="24"/>
      <x:c r="S2" s="24"/>
      <x:c r="T2" s="24"/>
    </x:row>
    <x:row r="3" ht="39.599998474121094" hidden="0" customHeight="1">
      <x:c r="A3" s="48" t="str">
        <x:v>Qué lo hace interesante</x:v>
      </x:c>
      <x:c r="B3" s="24" t="str">
        <x:v>Es un caso de catálogo mucho más concentrado que los generalistas. No depende de miles de productos: con 221 productos visibles logra 188.692 órdenes históricas. Esto lo convierte en un proveedor útil para estudiar profundidad de nicho, bundles, variaciones y especialización de categoría.</x:v>
      </x:c>
      <x:c r="C3" s="24"/>
      <x:c r="D3" s="24"/>
      <x:c r="E3" s="24"/>
      <x:c r="F3" s="24"/>
      <x:c r="G3" s="24"/>
      <x:c r="H3" s="24"/>
      <x:c r="I3" s="24"/>
      <x:c r="J3" s="24"/>
      <x:c r="K3" s="24"/>
      <x:c r="L3" s="24"/>
      <x:c r="M3" s="24"/>
      <x:c r="N3" s="24"/>
      <x:c r="O3" s="24"/>
      <x:c r="P3" s="24"/>
      <x:c r="Q3" s="24"/>
      <x:c r="R3" s="24"/>
      <x:c r="S3" s="24"/>
      <x:c r="T3" s="24"/>
    </x:row>
    <x:row r="4" ht="52.79999923706055" hidden="0" customHeight="1">
      <x:c r="A4" s="48" t="str">
        <x:v>Patrón de catálogo visible</x:v>
      </x:c>
      <x:c r="B4" s="24" t="str">
        <x:v>La muestra se concentra en fajas, bodies, shorts moldeadores, corsets, prendas de compresión, ropa deportiva relacionada con control corporal, y complementos como geles, cremas, shampoo, batidos, taloneras y correctores. El catálogo parece girar alrededor de una vertical dominante: control corporal / compresión / belleza funcional.</x:v>
      </x:c>
      <x:c r="C4" s="24"/>
      <x:c r="D4" s="24"/>
      <x:c r="E4" s="24"/>
      <x:c r="F4" s="24"/>
      <x:c r="G4" s="24"/>
      <x:c r="H4" s="24"/>
      <x:c r="I4" s="24"/>
      <x:c r="J4" s="24"/>
      <x:c r="K4" s="24"/>
      <x:c r="L4" s="24"/>
      <x:c r="M4" s="24"/>
      <x:c r="N4" s="24"/>
      <x:c r="O4" s="24"/>
      <x:c r="P4" s="24"/>
      <x:c r="Q4" s="24"/>
      <x:c r="R4" s="24"/>
      <x:c r="S4" s="24"/>
      <x:c r="T4" s="24"/>
    </x:row>
    <x:row r="5" ht="39.599998474121094" hidden="0" customHeight="1">
      <x:c r="A5" s="48" t="str">
        <x:v>Señal de operación</x:v>
      </x:c>
      <x:c r="B5" s="24" t="str">
        <x:v>La calificación visible es óptima: envía rápido, cumple y responde bien. Esto lo vuelve un posible benchmark de supplier especializado con operación sana, aunque aún falta validar reclamos, cancelaciones y devoluciones por producto.</x:v>
      </x:c>
      <x:c r="C5" s="24"/>
      <x:c r="D5" s="24"/>
      <x:c r="E5" s="24"/>
      <x:c r="F5" s="24"/>
      <x:c r="G5" s="24"/>
      <x:c r="H5" s="24"/>
      <x:c r="I5" s="24"/>
      <x:c r="J5" s="24"/>
      <x:c r="K5" s="24"/>
      <x:c r="L5" s="24"/>
      <x:c r="M5" s="24"/>
      <x:c r="N5" s="24"/>
      <x:c r="O5" s="24"/>
      <x:c r="P5" s="24"/>
      <x:c r="Q5" s="24"/>
      <x:c r="R5" s="24"/>
      <x:c r="S5" s="24"/>
      <x:c r="T5" s="24"/>
    </x:row>
    <x:row r="6" ht="39.599998474121094" hidden="0" customHeight="1">
      <x:c r="A6" s="48" t="str">
        <x:v>Señal comercial</x:v>
      </x:c>
      <x:c r="B6" s="24" t="str">
        <x:v>Tiene 188.692 órdenes con 970 dropshippers. Comparado con suppliers generalistas, puede tener menor amplitud pero mayor foco. Hay que validar si las órdenes se concentran en fajas/body/shorts o si los productos complementarios también generan venta.</x:v>
      </x:c>
      <x:c r="C6" s="24"/>
      <x:c r="D6" s="24"/>
      <x:c r="E6" s="24"/>
      <x:c r="F6" s="24"/>
      <x:c r="G6" s="24"/>
      <x:c r="H6" s="24"/>
      <x:c r="I6" s="24"/>
      <x:c r="J6" s="24"/>
      <x:c r="K6" s="24"/>
      <x:c r="L6" s="24"/>
      <x:c r="M6" s="24"/>
      <x:c r="N6" s="24"/>
      <x:c r="O6" s="24"/>
      <x:c r="P6" s="24"/>
      <x:c r="Q6" s="24"/>
      <x:c r="R6" s="24"/>
      <x:c r="S6" s="24"/>
      <x:c r="T6" s="24"/>
    </x:row>
    <x:row r="7" ht="52.79999923706055" hidden="0" customHeight="1">
      <x:c r="A7" s="48" t="str">
        <x:v>Calidad de catálogo a revisar</x:v>
      </x:c>
      <x:c r="B7" s="24" t="str">
        <x:v>La muestra muestra muchos productos variables, lo cual es esperable en moda/fajas por tallas y referencias. También se observan precios sugeridos en 0, precios variables y casos donde el precio sugerido parece menor al precio proveedor. Esto no necesariamente es error porque puede depender de variaciones, pero debe quedar marcado para revisión.</x:v>
      </x:c>
      <x:c r="C7" s="24"/>
      <x:c r="D7" s="24"/>
      <x:c r="E7" s="24"/>
      <x:c r="F7" s="24"/>
      <x:c r="G7" s="24"/>
      <x:c r="H7" s="24"/>
      <x:c r="I7" s="24"/>
      <x:c r="J7" s="24"/>
      <x:c r="K7" s="24"/>
      <x:c r="L7" s="24"/>
      <x:c r="M7" s="24"/>
      <x:c r="N7" s="24"/>
      <x:c r="O7" s="24"/>
      <x:c r="P7" s="24"/>
      <x:c r="Q7" s="24"/>
      <x:c r="R7" s="24"/>
      <x:c r="S7" s="24"/>
      <x:c r="T7" s="24"/>
    </x:row>
    <x:row r="8" ht="52.79999923706055" hidden="0" customHeight="1">
      <x:c r="A8" s="48" t="str">
        <x:v>Posibles palancas</x:v>
      </x:c>
      <x:c r="B8" s="24" t="str">
        <x:v>1) Profundizar productos ganadores por talla/color/referencia. 2) Crear combos entre fajas y productos complementarios. 3) Mejorar consistencia de precios sugeridos y variables. 4) Separar línea marca propia vs productos complementarios. 5) Usarlo como benchmark de supplier de nicho: menos catálogo, más foco, operación óptima.</x:v>
      </x:c>
      <x:c r="C8" s="24"/>
      <x:c r="D8" s="24"/>
      <x:c r="E8" s="24"/>
      <x:c r="F8" s="24"/>
      <x:c r="G8" s="24"/>
      <x:c r="H8" s="24"/>
      <x:c r="I8" s="24"/>
      <x:c r="J8" s="24"/>
      <x:c r="K8" s="24"/>
      <x:c r="L8" s="24"/>
      <x:c r="M8" s="24"/>
      <x:c r="N8" s="24"/>
      <x:c r="O8" s="24"/>
      <x:c r="P8" s="24"/>
      <x:c r="Q8" s="24"/>
      <x:c r="R8" s="24"/>
      <x:c r="S8" s="24"/>
      <x:c r="T8" s="24"/>
    </x:row>
    <x:row r="9" ht="52.79999923706055" hidden="0" customHeight="1">
      <x:c r="A9" s="48" t="str">
        <x:v>Riesgos visibles</x:v>
      </x:c>
      <x:c r="B9" s="24" t="str">
        <x:v>Riesgo de datos de precio inconsistentes o incompletos en cards; riesgo de stock alto concentrado en variaciones no demandadas; riesgo de que el catálogo público no refleje el total real si hay productos privados; riesgo de que una vertical sensible como fajas/bienestar requiera mejor contenido de tallas, usos, garantías y devoluciones.</x:v>
      </x:c>
      <x:c r="C9" s="24"/>
      <x:c r="D9" s="24"/>
      <x:c r="E9" s="24"/>
      <x:c r="F9" s="24"/>
      <x:c r="G9" s="24"/>
      <x:c r="H9" s="24"/>
      <x:c r="I9" s="24"/>
      <x:c r="J9" s="24"/>
      <x:c r="K9" s="24"/>
      <x:c r="L9" s="24"/>
      <x:c r="M9" s="24"/>
      <x:c r="N9" s="24"/>
      <x:c r="O9" s="24"/>
      <x:c r="P9" s="24"/>
      <x:c r="Q9" s="24"/>
      <x:c r="R9" s="24"/>
      <x:c r="S9" s="24"/>
      <x:c r="T9" s="24"/>
    </x:row>
    <x:row r="10" ht="26.399999618530273" hidden="0" customHeight="1">
      <x:c r="A10" s="48" t="str">
        <x:v>Clasificación preliminar</x:v>
      </x:c>
      <x:c r="B10" s="24" t="str">
        <x:v>Supplier especializado / marca con catálogo complementario. Alta productividad relativa, operación visible sana, foco fuerte en fajas/control corporal y oportunidad de analizar profundidad de variaciones y bundles.</x:v>
      </x:c>
      <x:c r="C10" s="24"/>
      <x:c r="D10" s="24"/>
      <x:c r="E10" s="24"/>
      <x:c r="F10" s="24"/>
      <x:c r="G10" s="24"/>
      <x:c r="H10" s="24"/>
      <x:c r="I10" s="24"/>
      <x:c r="J10" s="24"/>
      <x:c r="K10" s="24"/>
      <x:c r="L10" s="24"/>
      <x:c r="M10" s="24"/>
      <x:c r="N10" s="24"/>
      <x:c r="O10" s="24"/>
      <x:c r="P10" s="24"/>
      <x:c r="Q10" s="24"/>
      <x:c r="R10" s="24"/>
      <x:c r="S10" s="24"/>
      <x:c r="T10" s="24"/>
    </x:row>
    <x:row r="11" ht="39.599998474121094" hidden="0" customHeight="1">
      <x:c r="A11" s="24" t="str">
        <x:v>Dato nuevo de visibilidad</x:v>
      </x:c>
      <x:c r="B11" s="24" t="str">
        <x:v>En el feed público/manual se capturaron 51 productos frente a 221 reportados en el perfil. Queda una brecha de 170 productos no observados. No se debe asumir que todos son privados; se debe validar con Data si son privados, inactivos, agotados, despublicados o restringidos por visibilidad.</x:v>
      </x:c>
      <x:c r="C11" s="24"/>
      <x:c r="D11" s="24"/>
      <x:c r="E11" s="24"/>
      <x:c r="F11" s="24"/>
      <x:c r="G11" s="24"/>
      <x:c r="H11" s="24"/>
      <x:c r="I11" s="24"/>
      <x:c r="J11" s="24"/>
      <x:c r="K11" s="24"/>
      <x:c r="L11" s="24"/>
      <x:c r="M11" s="24"/>
      <x:c r="N11" s="24"/>
      <x:c r="O11" s="24"/>
      <x:c r="P11" s="24"/>
      <x:c r="Q11" s="24"/>
      <x:c r="R11" s="24"/>
      <x:c r="S11" s="24"/>
      <x:c r="T11" s="24"/>
    </x:row>
    <x:row r="12" ht="39.599998474121094" hidden="0" customHeight="1">
      <x:c r="A12" s="24" t="str">
        <x:v>Detalle de productos revisados</x:v>
      </x:c>
      <x:c r="B12" s="24" t="str">
        <x:v>Se revisaron 7 productos de detalle: Short Cremallera Tiro Alto267, Panty Brasilero2651, Camisilla De Hombre258, Body De Compresion Con Manga 2670, Cinturilla Avispa2626, Short Con Broche Tiro Alto2642 y Faja Pierna Corta2605. Todos los productos revisados son variables, con stock público, bodega Medellín y múltiples tallas/colores.</x:v>
      </x:c>
      <x:c r="C12" s="24"/>
      <x:c r="D12" s="24"/>
      <x:c r="E12" s="24"/>
      <x:c r="F12" s="24"/>
      <x:c r="G12" s="24"/>
      <x:c r="H12" s="24"/>
      <x:c r="I12" s="24"/>
      <x:c r="J12" s="24"/>
      <x:c r="K12" s="24"/>
      <x:c r="L12" s="24"/>
      <x:c r="M12" s="24"/>
      <x:c r="N12" s="24"/>
      <x:c r="O12" s="24"/>
      <x:c r="P12" s="24"/>
      <x:c r="Q12" s="24"/>
      <x:c r="R12" s="24"/>
      <x:c r="S12" s="24"/>
      <x:c r="T12" s="24"/>
    </x:row>
    <x:row r="13" ht="39.599998474121094" hidden="0" customHeight="1">
      <x:c r="A13" s="24" t="str">
        <x:v>Lectura metodológica del caso</x:v>
      </x:c>
      <x:c r="B13" s="24" t="str">
        <x:v>PRENDAS CONTROL es un caso raro para el benchmark porque mezcla comportamiento de marca propia especializada con dinámica de supplier para dropshipping. No conviene excluirlo de entrada: debe mantenerse como caso mixto hasta validar con Data si sus órdenes provienen de productos de marca propia, productos privados, catálogo complementario o combinaciones.</x:v>
      </x:c>
      <x:c r="C13" s="24"/>
      <x:c r="D13" s="24"/>
      <x:c r="E13" s="24"/>
      <x:c r="F13" s="24"/>
      <x:c r="G13" s="24"/>
      <x:c r="H13" s="24"/>
      <x:c r="I13" s="24"/>
      <x:c r="J13" s="24"/>
      <x:c r="K13" s="24"/>
      <x:c r="L13" s="24"/>
      <x:c r="M13" s="24"/>
      <x:c r="N13" s="24"/>
      <x:c r="O13" s="24"/>
      <x:c r="P13" s="24"/>
      <x:c r="Q13" s="24"/>
      <x:c r="R13" s="24"/>
      <x:c r="S13" s="24"/>
      <x:c r="T13" s="24"/>
    </x:row>
    <x:row r="14" ht="39.599998474121094" hidden="0" customHeight="1">
      <x:c r="A14" s="24" t="str">
        <x:v>Criterio de inclusión/exclusión sugerido</x:v>
      </x:c>
      <x:c r="B14" s="24" t="str">
        <x:v>No evaluarlo contra suppliers generalistas como ADMA, TUCOLTIENDA o OSHOP. Evaluarlo en una categoría separada: supplier especializado/marca propia con posible uso dropshipping. Si Data confirma que la mayoría de órdenes proviene de productos privados o de venta directa de marca, se puede excluir del benchmark principal y dejarlo como caso especial.</x:v>
      </x:c>
      <x:c r="C14" s="24"/>
      <x:c r="D14" s="24"/>
      <x:c r="E14" s="24"/>
      <x:c r="F14" s="24"/>
      <x:c r="G14" s="24"/>
      <x:c r="H14" s="24"/>
      <x:c r="I14" s="24"/>
      <x:c r="J14" s="24"/>
      <x:c r="K14" s="24"/>
      <x:c r="L14" s="24"/>
      <x:c r="M14" s="24"/>
      <x:c r="N14" s="24"/>
      <x:c r="O14" s="24"/>
      <x:c r="P14" s="24"/>
      <x:c r="Q14" s="24"/>
      <x:c r="R14" s="24"/>
      <x:c r="S14" s="24"/>
      <x:c r="T14" s="24"/>
    </x:row>
    <x:row r="15">
      <x:c r="A15" s="24"/>
      <x:c r="B15" s="24"/>
      <x:c r="C15" s="24"/>
      <x:c r="D15" s="24"/>
      <x:c r="E15" s="24"/>
      <x:c r="F15" s="24"/>
      <x:c r="G15" s="24"/>
      <x:c r="H15" s="24"/>
      <x:c r="I15" s="24"/>
      <x:c r="J15" s="24"/>
      <x:c r="K15" s="24"/>
      <x:c r="L15" s="24"/>
      <x:c r="M15" s="24"/>
      <x:c r="N15" s="24"/>
      <x:c r="O15" s="24"/>
      <x:c r="P15" s="24"/>
      <x:c r="Q15" s="24"/>
      <x:c r="R15" s="24"/>
      <x:c r="S15" s="24"/>
      <x:c r="T15" s="24"/>
    </x:row>
    <x:row r="16">
      <x:c r="A16" s="24"/>
      <x:c r="B16" s="24"/>
      <x:c r="C16" s="24"/>
      <x:c r="D16" s="24"/>
      <x:c r="E16" s="24"/>
      <x:c r="F16" s="24"/>
      <x:c r="G16" s="24"/>
      <x:c r="H16" s="24"/>
      <x:c r="I16" s="24"/>
      <x:c r="J16" s="24"/>
      <x:c r="K16" s="24"/>
      <x:c r="L16" s="24"/>
      <x:c r="M16" s="24"/>
      <x:c r="N16" s="24"/>
      <x:c r="O16" s="24"/>
      <x:c r="P16" s="24"/>
      <x:c r="Q16" s="24"/>
      <x:c r="R16" s="24"/>
      <x:c r="S16" s="24"/>
      <x:c r="T16" s="24"/>
    </x:row>
    <x:row r="17">
      <x:c r="A17" s="24"/>
      <x:c r="B17" s="24"/>
      <x:c r="C17" s="24"/>
      <x:c r="D17" s="24"/>
      <x:c r="E17" s="24"/>
      <x:c r="F17" s="24"/>
      <x:c r="G17" s="24"/>
      <x:c r="H17" s="24"/>
      <x:c r="I17" s="24"/>
      <x:c r="J17" s="24"/>
      <x:c r="K17" s="24"/>
      <x:c r="L17" s="24"/>
      <x:c r="M17" s="24"/>
      <x:c r="N17" s="24"/>
      <x:c r="O17" s="24"/>
      <x:c r="P17" s="24"/>
      <x:c r="Q17" s="24"/>
      <x:c r="R17" s="24"/>
      <x:c r="S17" s="24"/>
      <x:c r="T17" s="24"/>
    </x:row>
    <x:row r="18">
      <x:c r="A18" s="24"/>
      <x:c r="B18" s="24"/>
      <x:c r="C18" s="24"/>
      <x:c r="D18" s="24"/>
      <x:c r="E18" s="24"/>
      <x:c r="F18" s="24"/>
      <x:c r="G18" s="24"/>
      <x:c r="H18" s="24"/>
      <x:c r="I18" s="24"/>
      <x:c r="J18" s="24"/>
      <x:c r="K18" s="24"/>
      <x:c r="L18" s="24"/>
      <x:c r="M18" s="24"/>
      <x:c r="N18" s="24"/>
      <x:c r="O18" s="24"/>
      <x:c r="P18" s="24"/>
      <x:c r="Q18" s="24"/>
      <x:c r="R18" s="24"/>
      <x:c r="S18" s="24"/>
      <x:c r="T18" s="24"/>
    </x:row>
    <x:row r="19">
      <x:c r="A19" s="24"/>
      <x:c r="B19" s="24"/>
      <x:c r="C19" s="24"/>
      <x:c r="D19" s="24"/>
      <x:c r="E19" s="24"/>
      <x:c r="F19" s="24"/>
      <x:c r="G19" s="24"/>
      <x:c r="H19" s="24"/>
      <x:c r="I19" s="24"/>
      <x:c r="J19" s="24"/>
      <x:c r="K19" s="24"/>
      <x:c r="L19" s="24"/>
      <x:c r="M19" s="24"/>
      <x:c r="N19" s="24"/>
      <x:c r="O19" s="24"/>
      <x:c r="P19" s="24"/>
      <x:c r="Q19" s="24"/>
      <x:c r="R19" s="24"/>
      <x:c r="S19" s="24"/>
      <x:c r="T19" s="24"/>
    </x:row>
    <x:row r="20">
      <x:c r="A20" s="24"/>
      <x:c r="B20" s="24"/>
      <x:c r="C20" s="24"/>
      <x:c r="D20" s="24"/>
      <x:c r="E20" s="24"/>
      <x:c r="F20" s="24"/>
      <x:c r="G20" s="24"/>
      <x:c r="H20" s="24"/>
      <x:c r="I20" s="24"/>
      <x:c r="J20" s="24"/>
      <x:c r="K20" s="24"/>
      <x:c r="L20" s="24"/>
      <x:c r="M20" s="24"/>
      <x:c r="N20" s="24"/>
      <x:c r="O20" s="24"/>
      <x:c r="P20" s="24"/>
      <x:c r="Q20" s="24"/>
      <x:c r="R20" s="24"/>
      <x:c r="S20" s="24"/>
      <x:c r="T20" s="24"/>
    </x:row>
    <x:row r="21">
      <x:c r="A21" s="24"/>
      <x:c r="B21" s="24"/>
      <x:c r="C21" s="24"/>
      <x:c r="D21" s="24"/>
      <x:c r="E21" s="24"/>
      <x:c r="F21" s="24"/>
      <x:c r="G21" s="24"/>
      <x:c r="H21" s="24"/>
      <x:c r="I21" s="24"/>
      <x:c r="J21" s="24"/>
      <x:c r="K21" s="24"/>
      <x:c r="L21" s="24"/>
      <x:c r="M21" s="24"/>
      <x:c r="N21" s="24"/>
      <x:c r="O21" s="24"/>
      <x:c r="P21" s="24"/>
      <x:c r="Q21" s="24"/>
      <x:c r="R21" s="24"/>
      <x:c r="S21" s="24"/>
      <x:c r="T21" s="24"/>
    </x:row>
    <x:row r="22">
      <x:c r="A22" s="24"/>
      <x:c r="B22" s="24"/>
      <x:c r="C22" s="24"/>
      <x:c r="D22" s="24"/>
      <x:c r="E22" s="24"/>
      <x:c r="F22" s="24"/>
      <x:c r="G22" s="24"/>
      <x:c r="H22" s="24"/>
      <x:c r="I22" s="24"/>
      <x:c r="J22" s="24"/>
      <x:c r="K22" s="24"/>
      <x:c r="L22" s="24"/>
      <x:c r="M22" s="24"/>
      <x:c r="N22" s="24"/>
      <x:c r="O22" s="24"/>
      <x:c r="P22" s="24"/>
      <x:c r="Q22" s="24"/>
      <x:c r="R22" s="24"/>
      <x:c r="S22" s="24"/>
      <x:c r="T22" s="24"/>
    </x:row>
    <x:row r="23">
      <x:c r="A23" s="24"/>
      <x:c r="B23" s="24"/>
      <x:c r="C23" s="24"/>
      <x:c r="D23" s="24"/>
      <x:c r="E23" s="24"/>
      <x:c r="F23" s="24"/>
      <x:c r="G23" s="24"/>
      <x:c r="H23" s="24"/>
      <x:c r="I23" s="24"/>
      <x:c r="J23" s="24"/>
      <x:c r="K23" s="24"/>
      <x:c r="L23" s="24"/>
      <x:c r="M23" s="24"/>
      <x:c r="N23" s="24"/>
      <x:c r="O23" s="24"/>
      <x:c r="P23" s="24"/>
      <x:c r="Q23" s="24"/>
      <x:c r="R23" s="24"/>
      <x:c r="S23" s="24"/>
      <x:c r="T23" s="24"/>
    </x:row>
    <x:row r="24">
      <x:c r="A24" s="24"/>
      <x:c r="B24" s="24"/>
      <x:c r="C24" s="24"/>
      <x:c r="D24" s="24"/>
      <x:c r="E24" s="24"/>
      <x:c r="F24" s="24"/>
      <x:c r="G24" s="24"/>
      <x:c r="H24" s="24"/>
      <x:c r="I24" s="24"/>
      <x:c r="J24" s="24"/>
      <x:c r="K24" s="24"/>
      <x:c r="L24" s="24"/>
      <x:c r="M24" s="24"/>
      <x:c r="N24" s="24"/>
      <x:c r="O24" s="24"/>
      <x:c r="P24" s="24"/>
      <x:c r="Q24" s="24"/>
      <x:c r="R24" s="24"/>
      <x:c r="S24" s="24"/>
      <x:c r="T24" s="24"/>
    </x:row>
    <x:row r="25">
      <x:c r="A25" s="24"/>
      <x:c r="B25" s="24"/>
      <x:c r="C25" s="24"/>
      <x:c r="D25" s="24"/>
      <x:c r="E25" s="24"/>
      <x:c r="F25" s="24"/>
      <x:c r="G25" s="24"/>
      <x:c r="H25" s="24"/>
      <x:c r="I25" s="24"/>
      <x:c r="J25" s="24"/>
      <x:c r="K25" s="24"/>
      <x:c r="L25" s="24"/>
      <x:c r="M25" s="24"/>
      <x:c r="N25" s="24"/>
      <x:c r="O25" s="24"/>
      <x:c r="P25" s="24"/>
      <x:c r="Q25" s="24"/>
      <x:c r="R25" s="24"/>
      <x:c r="S25" s="24"/>
      <x:c r="T25" s="24"/>
    </x:row>
    <x:row r="26">
      <x:c r="A26" s="24"/>
      <x:c r="B26" s="24"/>
      <x:c r="C26" s="24"/>
      <x:c r="D26" s="24"/>
      <x:c r="E26" s="24"/>
      <x:c r="F26" s="24"/>
      <x:c r="G26" s="24"/>
      <x:c r="H26" s="24"/>
      <x:c r="I26" s="24"/>
      <x:c r="J26" s="24"/>
      <x:c r="K26" s="24"/>
      <x:c r="L26" s="24"/>
      <x:c r="M26" s="24"/>
      <x:c r="N26" s="24"/>
      <x:c r="O26" s="24"/>
      <x:c r="P26" s="24"/>
      <x:c r="Q26" s="24"/>
      <x:c r="R26" s="24"/>
      <x:c r="S26" s="24"/>
      <x:c r="T26" s="24"/>
    </x:row>
    <x:row r="27">
      <x:c r="A27" s="24"/>
      <x:c r="B27" s="24"/>
      <x:c r="C27" s="24"/>
      <x:c r="D27" s="24"/>
      <x:c r="E27" s="24"/>
      <x:c r="F27" s="24"/>
      <x:c r="G27" s="24"/>
      <x:c r="H27" s="24"/>
      <x:c r="I27" s="24"/>
      <x:c r="J27" s="24"/>
      <x:c r="K27" s="24"/>
      <x:c r="L27" s="24"/>
      <x:c r="M27" s="24"/>
      <x:c r="N27" s="24"/>
      <x:c r="O27" s="24"/>
      <x:c r="P27" s="24"/>
      <x:c r="Q27" s="24"/>
      <x:c r="R27" s="24"/>
      <x:c r="S27" s="24"/>
      <x:c r="T27" s="24"/>
    </x:row>
    <x:row r="28">
      <x:c r="A28" s="24"/>
      <x:c r="B28" s="24"/>
      <x:c r="C28" s="24"/>
      <x:c r="D28" s="24"/>
      <x:c r="E28" s="24"/>
      <x:c r="F28" s="24"/>
      <x:c r="G28" s="24"/>
      <x:c r="H28" s="24"/>
      <x:c r="I28" s="24"/>
      <x:c r="J28" s="24"/>
      <x:c r="K28" s="24"/>
      <x:c r="L28" s="24"/>
      <x:c r="M28" s="24"/>
      <x:c r="N28" s="24"/>
      <x:c r="O28" s="24"/>
      <x:c r="P28" s="24"/>
      <x:c r="Q28" s="24"/>
      <x:c r="R28" s="24"/>
      <x:c r="S28" s="24"/>
      <x:c r="T28" s="24"/>
    </x:row>
    <x:row r="29">
      <x:c r="A29" s="24"/>
      <x:c r="B29" s="24"/>
      <x:c r="C29" s="24"/>
      <x:c r="D29" s="24"/>
      <x:c r="E29" s="24"/>
      <x:c r="F29" s="24"/>
      <x:c r="G29" s="24"/>
      <x:c r="H29" s="24"/>
      <x:c r="I29" s="24"/>
      <x:c r="J29" s="24"/>
      <x:c r="K29" s="24"/>
      <x:c r="L29" s="24"/>
      <x:c r="M29" s="24"/>
      <x:c r="N29" s="24"/>
      <x:c r="O29" s="24"/>
      <x:c r="P29" s="24"/>
      <x:c r="Q29" s="24"/>
      <x:c r="R29" s="24"/>
      <x:c r="S29" s="24"/>
      <x:c r="T29" s="24"/>
    </x:row>
    <x:row r="30">
      <x:c r="A30" s="24"/>
      <x:c r="B30" s="24"/>
      <x:c r="C30" s="24"/>
      <x:c r="D30" s="24"/>
      <x:c r="E30" s="24"/>
      <x:c r="F30" s="24"/>
      <x:c r="G30" s="24"/>
      <x:c r="H30" s="24"/>
      <x:c r="I30" s="24"/>
      <x:c r="J30" s="24"/>
      <x:c r="K30" s="24"/>
      <x:c r="L30" s="24"/>
      <x:c r="M30" s="24"/>
      <x:c r="N30" s="24"/>
      <x:c r="O30" s="24"/>
      <x:c r="P30" s="24"/>
      <x:c r="Q30" s="24"/>
      <x:c r="R30" s="24"/>
      <x:c r="S30" s="24"/>
      <x:c r="T30" s="24"/>
    </x:row>
  </x:sheetData>
  <x:pageMargins left="0.7" right="0.7" top="0.75" bottom="0.75" header="0.3" footer="0.3"/>
</x:worksheet>
</file>