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e18e04788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59937e1a2b2f4fd3"/>
    <x:sheet xmlns:r="http://schemas.openxmlformats.org/officeDocument/2006/relationships" name="01_Catalogo_visible" sheetId="2" r:id="R5721035ba5a14796"/>
    <x:sheet xmlns:r="http://schemas.openxmlformats.org/officeDocument/2006/relationships" name="02_Detalle_productos" sheetId="3" r:id="Rc0f29af03b1946e1"/>
    <x:sheet xmlns:r="http://schemas.openxmlformats.org/officeDocument/2006/relationships" name="03_Data_faltante" sheetId="4" r:id="R53486c0fb52a41b6"/>
    <x:sheet xmlns:r="http://schemas.openxmlformats.org/officeDocument/2006/relationships" name="04_Resumen_categorias" sheetId="5" r:id="R33a27a2ba7304034"/>
    <x:sheet xmlns:r="http://schemas.openxmlformats.org/officeDocument/2006/relationships" name="05_Lectura_PM" sheetId="6" r:id="R53ce33ae48d64c24"/>
    <x:sheet xmlns:r="http://schemas.openxmlformats.org/officeDocument/2006/relationships" name="06_Diccionario" sheetId="7" r:id="R532792556a1b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%"/>
    <x:numFmt numFmtId="203" formatCode="$ #,##0"/>
    <x:numFmt numFmtId="204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00"/>
      </x:patternFill>
    </x:fill>
    <x:fill>
      <x:patternFill patternType="solid">
        <x:fgColor rgb="FFF3E6"/>
      </x:patternFill>
    </x:fill>
    <x:fill>
      <x:patternFill patternType="solid">
        <x:fgColor rgb="1F2937"/>
      </x:patternFill>
    </x:fill>
    <x:fill>
      <x:patternFill patternType="solid">
        <x:fgColor rgb="E0F2FE"/>
      </x:patternFill>
    </x:fill>
    <x:fill>
      <x:patternFill patternType="solid">
        <x:fgColor rgb="5B1F00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8a602b16047d7" /><Relationship Type="http://schemas.openxmlformats.org/officeDocument/2006/relationships/theme" Target="/xl/theme/theme1.xml" Id="Rf19fd11ed8ef4eda" /><Relationship Type="http://schemas.openxmlformats.org/officeDocument/2006/relationships/sharedStrings" Target="/xl/sharedStrings.xml" Id="Ra82831e07ee34ac5" /><Relationship Type="http://schemas.openxmlformats.org/officeDocument/2006/relationships/worksheet" Target="/xl/worksheets/sheet1.xml" Id="R59937e1a2b2f4fd3" /><Relationship Type="http://schemas.openxmlformats.org/officeDocument/2006/relationships/worksheet" Target="/xl/worksheets/sheet2.xml" Id="R5721035ba5a14796" /><Relationship Type="http://schemas.openxmlformats.org/officeDocument/2006/relationships/worksheet" Target="/xl/worksheets/sheet3.xml" Id="Rc0f29af03b1946e1" /><Relationship Type="http://schemas.openxmlformats.org/officeDocument/2006/relationships/worksheet" Target="/xl/worksheets/sheet4.xml" Id="R53486c0fb52a41b6" /><Relationship Type="http://schemas.openxmlformats.org/officeDocument/2006/relationships/worksheet" Target="/xl/worksheets/sheet5.xml" Id="R33a27a2ba7304034" /><Relationship Type="http://schemas.openxmlformats.org/officeDocument/2006/relationships/worksheet" Target="/xl/worksheets/sheet6.xml" Id="R53ce33ae48d64c24" /><Relationship Type="http://schemas.openxmlformats.org/officeDocument/2006/relationships/worksheet" Target="/xl/worksheets/sheet7.xml" Id="R532792556a1b48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b18316a0aa49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de categorías · TUCOLTIENDA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Productos en muestra</c:v>
          </c:tx>
          <c:cat>
            <c:strRef>
              <c:f>'04_Resumen_categorias'!$A$2:$A$14</c:f>
              <c:strCache>
                <c:ptCount val="0"/>
              </c:strCache>
            </c:strRef>
          </c:cat>
          <c:val>
            <c:numRef>
              <c:f>'04_Resumen_categorias'!$B$2:$B$14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b18316a0aa49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alogoVisibleTUCOLTIENDA" displayName="CatalogoVisibleTUCOLTIENDA" ref="A1:L181" headerRowCount="1">
  <x:tableColumns count="12">
    <x:tableColumn id="1" name="#"/>
    <x:tableColumn id="2" name="Producto visible"/>
    <x:tableColumn id="3" name="Categoría final"/>
    <x:tableColumn id="4" name="Subcategoría interpretada"/>
    <x:tableColumn id="5" name="Categoría visible plataforma"/>
    <x:tableColumn id="6" name="Etiqueta visible"/>
    <x:tableColumn id="7" name="Tipo visible"/>
    <x:tableColumn id="8" name="Stock visible"/>
    <x:tableColumn id="9" name="Precio proveedor"/>
    <x:tableColumn id="10" name="Precio sugerido"/>
    <x:tableColumn id="11" name="Fuente screenshot"/>
    <x:tableColumn id="12" name="Observación cruda"/>
  </x:tableColumns>
  <x:tableStyleInfo name="TableStyleMedium2" showRowStripes="1"/>
</x:table>
</file>

<file path=xl/tables/table2.xml><?xml version="1.0" encoding="utf-8"?>
<x:table xmlns:x="http://schemas.openxmlformats.org/spreadsheetml/2006/main" id="2" name="DetalleProductosTUCOLTIENDA" displayName="DetalleProductosTUCOLTIENDA" ref="A1:AB31" headerRowCount="1">
  <x:tableColumns count="28">
    <x:tableColumn id="1" name="#"/>
    <x:tableColumn id="2" name="ID producto"/>
    <x:tableColumn id="3" name="Producto"/>
    <x:tableColumn id="4" name="SKU"/>
    <x:tableColumn id="5" name="Categoría final"/>
    <x:tableColumn id="6" name="Categoría visible plataforma"/>
    <x:tableColumn id="7" name="Tipo producto"/>
    <x:tableColumn id="8" name="Disponible en"/>
    <x:tableColumn id="9" name="Bodega"/>
    <x:tableColumn id="10" name="Precio proveedor"/>
    <x:tableColumn id="11" name="Precio sugerido"/>
    <x:tableColumn id="12" name="Diferencia precio"/>
    <x:tableColumn id="13" name="% margen sugerido sobre proveedor"/>
    <x:tableColumn id="14" name="Stock público"/>
    <x:tableColumn id="15" name="Stock privado"/>
    <x:tableColumn id="16" name="Cantidad imágenes visibles"/>
    <x:tableColumn id="17" name="Tiene descripción"/>
    <x:tableColumn id="18" name="Descripción excede screenshot"/>
    <x:tableColumn id="19" name="Tipo descripción"/>
    <x:tableColumn id="20" name="Beneficios visibles"/>
    <x:tableColumn id="21" name="Modo de uso visible"/>
    <x:tableColumn id="22" name="Especificaciones visibles"/>
    <x:tableColumn id="23" name="Garantías visibles"/>
    <x:tableColumn id="24" name="Recursos adicionales visibles"/>
    <x:tableColumn id="25" name="Texto genérico repetido"/>
    <x:tableColumn id="26" name="Texto mal renderizado / JSON"/>
    <x:tableColumn id="27" name="Observación cruda"/>
    <x:tableColumn id="28" name="Fuente screenshot"/>
  </x:tableColumns>
  <x:tableStyleInfo name="TableStyleMedium2" showRowStripes="1"/>
</x:table>
</file>

<file path=xl/tables/table3.xml><?xml version="1.0" encoding="utf-8"?>
<x:table xmlns:x="http://schemas.openxmlformats.org/spreadsheetml/2006/main" id="3" name="DataFaltanteTUCOLTIENDA" displayName="DataFaltanteTUCOLTIENDA" ref="A1:D11" headerRowCount="1">
  <x:tableColumns count="4">
    <x:tableColumn id="1" name="Dato faltante"/>
    <x:tableColumn id="2" name="Estado"/>
    <x:tableColumn id="3" name="Por qué importa"/>
    <x:tableColumn id="4" name="Pregunta para Data / BI"/>
  </x:tableColumns>
  <x:tableStyleInfo name="TableStyleMedium2" showRowStripes="1"/>
</x:table>
</file>

<file path=xl/tables/table4.xml><?xml version="1.0" encoding="utf-8"?>
<x:table xmlns:x="http://schemas.openxmlformats.org/spreadsheetml/2006/main" id="4" name="ResumenCategoriasTUCOLTIENDA" displayName="ResumenCategoriasTUCOLTIENDA" ref="A1:C14" headerRowCount="1">
  <x:tableColumns count="3">
    <x:tableColumn id="1" name="Categoría final"/>
    <x:tableColumn id="2" name="Productos en muestra"/>
    <x:tableColumn id="3" name="% de muestr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4649f1d6cd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117a717b95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9e972cb4d841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78ff24d63e04833" /><Relationship Type="http://schemas.openxmlformats.org/officeDocument/2006/relationships/table" Target="/xl/tables/table4.xml" Id="Rafa9091c6f5e490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4" max="4" width="23.690000534057617" hidden="0" customWidth="1"/>
    <x:col min="5" max="5" width="5.380000114440918" hidden="0" customWidth="1"/>
    <x:col min="6" max="6" width="10.359999656677246" hidden="0" customWidth="1"/>
  </x:cols>
  <x:sheetData>
    <x:row r="1" ht="18" customHeight="1">
      <x:c r="A1" s="4" t="str">
        <x:v>Ficha supplier</x:v>
      </x:c>
      <x:c r="B1" s="4" t="str">
        <x:v>TUCOLTIENDA</x:v>
      </x:c>
    </x:row>
    <x:row r="2" ht="18" customHeight="1">
      <x:c r="A2" s="10" t="str">
        <x:v>Proyecto</x:v>
      </x:c>
      <x:c r="B2" s="14" t="str">
        <x:v>Inteligencia de Catálogo · DAT-001</x:v>
      </x:c>
      <x:c r="D2" s="17" t="str">
        <x:v>Métrica calculada</x:v>
      </x:c>
      <x:c r="E2" s="17" t="str">
        <x:v>Valor</x:v>
      </x:c>
      <x:c r="F2" s="17" t="str">
        <x:v>Fórmula</x:v>
      </x:c>
    </x:row>
    <x:row r="3" ht="18" customHeight="1">
      <x:c r="A3" s="10" t="str">
        <x:v>Supplier</x:v>
      </x:c>
      <x:c r="B3" s="14" t="str">
        <x:v>TUCOLTIENDA</x:v>
      </x:c>
      <x:c r="D3" s="23" t="str">
        <x:v>Órdenes por producto visible</x:v>
      </x:c>
      <x:c r="E3" s="20" t="n">
        <x:f>B9/B8</x:f>
        <x:v>404.7295321637427</x:v>
      </x:c>
      <x:c r="F3" t="n">
        <x:f>B9/B8</x:f>
        <x:v>404.7295321637427</x:v>
      </x:c>
    </x:row>
    <x:row r="4" ht="18" customHeight="1">
      <x:c r="A4" s="10" t="str">
        <x:v>Nombre asociado / referencia</x:v>
      </x:c>
      <x:c r="B4" s="14" t="str">
        <x:v>Diego Kalach</x:v>
      </x:c>
      <x:c r="D4" s="23" t="str">
        <x:v>Órdenes por dropshipper</x:v>
      </x:c>
      <x:c r="E4" s="20" t="n">
        <x:f>B9/B10</x:f>
        <x:v>55.79101168883515</x:v>
      </x:c>
      <x:c r="F4" t="n">
        <x:f>B9/B10</x:f>
        <x:v>55.79101168883515</x:v>
      </x:c>
    </x:row>
    <x:row r="5" ht="18" customHeight="1">
      <x:c r="A5" s="10" t="str">
        <x:v>Estado visible</x:v>
      </x:c>
      <x:c r="B5" s="14" t="str">
        <x:v>Verificado</x:v>
      </x:c>
      <x:c r="D5" s="23" t="str">
        <x:v>Dropshippers por producto</x:v>
      </x:c>
      <x:c r="E5" s="20" t="n">
        <x:f>B10/B8</x:f>
        <x:v>7.254385964912281</x:v>
      </x:c>
      <x:c r="F5" t="n">
        <x:f>B10/B8</x:f>
        <x:v>7.254385964912281</x:v>
      </x:c>
    </x:row>
    <x:row r="6" ht="18" customHeight="1">
      <x:c r="A6" s="10" t="str">
        <x:v>En Dropi desde</x:v>
      </x:c>
      <x:c r="B6" s="14" t="str">
        <x:v>09/09/2022</x:v>
      </x:c>
    </x:row>
    <x:row r="7" ht="18" customHeight="1">
      <x:c r="A7" s="10" t="str">
        <x:v>Última conexión</x:v>
      </x:c>
      <x:c r="B7" s="14" t="str">
        <x:v>Ayer</x:v>
      </x:c>
    </x:row>
    <x:row r="8" ht="18" customHeight="1">
      <x:c r="A8" s="10" t="str">
        <x:v>Productos visibles en perfil</x:v>
      </x:c>
      <x:c r="B8" s="14" t="n">
        <x:v>684</x:v>
      </x:c>
    </x:row>
    <x:row r="9" ht="18" customHeight="1">
      <x:c r="A9" s="10" t="str">
        <x:v>Órdenes históricas visibles</x:v>
      </x:c>
      <x:c r="B9" s="14" t="n">
        <x:v>276835</x:v>
      </x:c>
    </x:row>
    <x:row r="10" ht="18" customHeight="1">
      <x:c r="A10" s="10" t="str">
        <x:v>Dropshippers visibles</x:v>
      </x:c>
      <x:c r="B10" s="14" t="n">
        <x:v>4962</x:v>
      </x:c>
    </x:row>
    <x:row r="11" ht="18" customHeight="1">
      <x:c r="A11" s="10" t="str">
        <x:v>Tiempo de despacho visible</x:v>
      </x:c>
      <x:c r="B11" s="14" t="str">
        <x:v>5 h</x:v>
      </x:c>
    </x:row>
    <x:row r="12" ht="18" customHeight="1">
      <x:c r="A12" s="10" t="str">
        <x:v>Bodega visible</x:v>
      </x:c>
      <x:c r="B12" s="14" t="str">
        <x:v>Bogotá</x:v>
      </x:c>
    </x:row>
    <x:row r="13" ht="18" customHeight="1">
      <x:c r="A13" s="10" t="str">
        <x:v>Calificación últimos 30 días</x:v>
      </x:c>
      <x:c r="B13" s="14" t="str">
        <x:v>Óptima</x:v>
      </x:c>
    </x:row>
    <x:row r="14" ht="18" customHeight="1">
      <x:c r="A14" s="10" t="str">
        <x:v>Despachos</x:v>
      </x:c>
      <x:c r="B14" s="14" t="str">
        <x:v>Envía rápido y sin demoras</x:v>
      </x:c>
    </x:row>
    <x:row r="15" ht="18" customHeight="1">
      <x:c r="A15" s="10" t="str">
        <x:v>Cumplimiento</x:v>
      </x:c>
      <x:c r="B15" s="14" t="str">
        <x:v>Pocos rechazos y cancelaciones</x:v>
      </x:c>
    </x:row>
    <x:row r="16" ht="18" customHeight="1">
      <x:c r="A16" s="10" t="str">
        <x:v>Postventa</x:v>
      </x:c>
      <x:c r="B16" s="14" t="str">
        <x:v>Muy pocos reclamos y atención rápida</x:v>
      </x:c>
    </x:row>
    <x:row r="17" ht="18" customHeight="1">
      <x:c r="A17" s="10" t="str">
        <x:v>Muestra catálogo capturada</x:v>
      </x:c>
      <x:c r="B17" s="14" t="n">
        <x:v>180</x:v>
      </x:c>
    </x:row>
    <x:row r="18" ht="18" customHeight="1">
      <x:c r="A18" s="10" t="str">
        <x:v>Fuente</x:v>
      </x:c>
      <x:c r="B18" s="14" t="str">
        <x:v>Pantallazos enviados por Jaime en conversación</x:v>
      </x:c>
    </x:row>
    <x:row r="19" ht="18" customHeight="1">
      <x:c r="A19" s="10" t="str">
        <x:v>Nota metodológica</x:v>
      </x:c>
      <x:c r="B19" s="14" t="str">
        <x:v>Categoría final interpretada por nombre del producto. Precios y stock quedan para captura detallada o revisión por Data/BI cuando no fueron transcritos del pantallazo general.</x:v>
      </x:c>
    </x:row>
    <x:row r="20" ht="18" customHeight="1">
      <x:c r="A20" t="str">
        <x:v>Detalle productos registrados</x:v>
      </x:c>
      <x:c r="B20" t="n">
        <x:v>19</x:v>
      </x:c>
    </x:row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6" hidden="0" customWidth="1"/>
    <x:col min="3" max="3" width="18" hidden="0" customWidth="1"/>
    <x:col min="4" max="4" width="24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8" hidden="0" customWidth="1"/>
    <x:col min="12" max="12" width="32" hidden="0" customWidth="1"/>
  </x:cols>
  <x:sheetData>
    <x:row r="1" ht="18" customHeight="1">
      <x:c r="A1" s="28" t="str">
        <x:v>#</x:v>
      </x:c>
      <x:c r="B1" s="28" t="str">
        <x:v>Producto visible</x:v>
      </x:c>
      <x:c r="C1" s="28" t="str">
        <x:v>Categoría final</x:v>
      </x:c>
      <x:c r="D1" s="28" t="str">
        <x:v>Subcategoría interpretada</x:v>
      </x:c>
      <x:c r="E1" s="28" t="str">
        <x:v>Categoría visible plataforma</x:v>
      </x:c>
      <x:c r="F1" s="28" t="str">
        <x:v>Etiqueta visible</x:v>
      </x:c>
      <x:c r="G1" s="28" t="str">
        <x:v>Tipo visible</x:v>
      </x:c>
      <x:c r="H1" s="28" t="str">
        <x:v>Stock visible</x:v>
      </x:c>
      <x:c r="I1" s="28" t="str">
        <x:v>Precio proveedor</x:v>
      </x:c>
      <x:c r="J1" s="28" t="str">
        <x:v>Precio sugerido</x:v>
      </x:c>
      <x:c r="K1" s="28" t="str">
        <x:v>Fuente screenshot</x:v>
      </x:c>
      <x:c r="L1" s="28" t="str">
        <x:v>Observación cruda</x:v>
      </x:c>
    </x:row>
    <x:row r="2" ht="18" customHeight="1">
      <x:c r="A2" t="n">
        <x:v>1</x:v>
      </x:c>
      <x:c r="B2" t="str">
        <x:v>Cepillo Peine Mascota Autolimpiable</x:v>
      </x:c>
      <x:c r="C2" t="str">
        <x:v>Mascotas</x:v>
      </x:c>
      <x:c r="D2" t="str">
        <x:v>Cuidado mascotas</x:v>
      </x:c>
      <x:c r="E2" t="str"/>
      <x:c r="F2" t="str">
        <x:v>Verificado</x:v>
      </x:c>
      <x:c r="G2" t="str"/>
      <x:c r="H2" s="32"/>
      <x:c r="I2" s="32"/>
      <x:c r="J2" s="32"/>
      <x:c r="K2" t="str">
        <x:v>Captura 8.09.14</x:v>
      </x:c>
      <x:c r="L2" t="str"/>
    </x:row>
    <x:row r="3" ht="18" customHeight="1">
      <x:c r="A3" t="n">
        <x:v>2</x:v>
      </x:c>
      <x:c r="B3" t="str">
        <x:v>Mini Linterna Llavero Camping Recargable</x:v>
      </x:c>
      <x:c r="C3" t="str">
        <x:v>Tecnología</x:v>
      </x:c>
      <x:c r="D3" t="str">
        <x:v>Iluminación / gadgets</x:v>
      </x:c>
      <x:c r="E3" t="str"/>
      <x:c r="F3" t="str">
        <x:v>Verificado</x:v>
      </x:c>
      <x:c r="G3" t="str"/>
      <x:c r="H3" s="32"/>
      <x:c r="I3" s="32"/>
      <x:c r="J3" s="32"/>
      <x:c r="K3" t="str">
        <x:v>Captura 8.09.14</x:v>
      </x:c>
      <x:c r="L3" t="str"/>
    </x:row>
    <x:row r="4" ht="18" customHeight="1">
      <x:c r="A4" t="n">
        <x:v>3</x:v>
      </x:c>
      <x:c r="B4" t="str">
        <x:v>Rizador Plancha Agua Secador Cepillo</x:v>
      </x:c>
      <x:c r="C4" t="str">
        <x:v>Belleza</x:v>
      </x:c>
      <x:c r="D4" t="str">
        <x:v>Cuidado capilar</x:v>
      </x:c>
      <x:c r="E4" t="str"/>
      <x:c r="F4" t="str">
        <x:v>Verificado</x:v>
      </x:c>
      <x:c r="G4" t="str"/>
      <x:c r="H4" s="32"/>
      <x:c r="I4" s="32"/>
      <x:c r="J4" s="32"/>
      <x:c r="K4" t="str">
        <x:v>Captura 8.09.14</x:v>
      </x:c>
      <x:c r="L4" t="str"/>
    </x:row>
    <x:row r="5" ht="18" customHeight="1">
      <x:c r="A5" t="n">
        <x:v>4</x:v>
      </x:c>
      <x:c r="B5" t="str">
        <x:v>Bingo Macro Utensilios Juego De Mesa</x:v>
      </x:c>
      <x:c r="C5" t="str">
        <x:v>Juguetería</x:v>
      </x:c>
      <x:c r="D5" t="str">
        <x:v>Juego de mesa</x:v>
      </x:c>
      <x:c r="E5" t="str"/>
      <x:c r="F5" t="str">
        <x:v>Verificado</x:v>
      </x:c>
      <x:c r="G5" t="str"/>
      <x:c r="H5" s="32"/>
      <x:c r="I5" s="32"/>
      <x:c r="J5" s="32"/>
      <x:c r="K5" t="str">
        <x:v>Captura 8.09.14</x:v>
      </x:c>
      <x:c r="L5" t="str"/>
    </x:row>
    <x:row r="6" ht="18" customHeight="1">
      <x:c r="A6" t="n">
        <x:v>5</x:v>
      </x:c>
      <x:c r="B6" t="str">
        <x:v>Mini Batidor Espumador Portatil</x:v>
      </x:c>
      <x:c r="C6" t="str">
        <x:v>Cocina</x:v>
      </x:c>
      <x:c r="D6" t="str">
        <x:v>Preparación bebidas</x:v>
      </x:c>
      <x:c r="E6" t="str"/>
      <x:c r="F6" t="str">
        <x:v>Verificado</x:v>
      </x:c>
      <x:c r="G6" t="str"/>
      <x:c r="H6" s="32"/>
      <x:c r="I6" s="32"/>
      <x:c r="J6" s="32"/>
      <x:c r="K6" t="str">
        <x:v>Captura 8.09.14</x:v>
      </x:c>
      <x:c r="L6" t="str"/>
    </x:row>
    <x:row r="7" ht="18" customHeight="1">
      <x:c r="A7" t="n">
        <x:v>6</x:v>
      </x:c>
      <x:c r="B7" t="str">
        <x:v>Zapatero Con Tapa 6 Niveles</x:v>
      </x:c>
      <x:c r="C7" t="str">
        <x:v>Hogar</x:v>
      </x:c>
      <x:c r="D7" t="str">
        <x:v>Organización</x:v>
      </x:c>
      <x:c r="E7" t="str"/>
      <x:c r="F7" t="str">
        <x:v>Verificado</x:v>
      </x:c>
      <x:c r="G7" t="str"/>
      <x:c r="H7" s="32"/>
      <x:c r="I7" s="32"/>
      <x:c r="J7" s="32"/>
      <x:c r="K7" t="str">
        <x:v>Captura 8.09.14</x:v>
      </x:c>
      <x:c r="L7" t="str"/>
    </x:row>
    <x:row r="8" ht="18" customHeight="1">
      <x:c r="A8" t="n">
        <x:v>7</x:v>
      </x:c>
      <x:c r="B8" t="str">
        <x:v>Pillera Maquina Afeitar T99 Recargable</x:v>
      </x:c>
      <x:c r="C8" t="str">
        <x:v>Belleza</x:v>
      </x:c>
      <x:c r="D8" t="str">
        <x:v>Cuidado personal</x:v>
      </x:c>
      <x:c r="E8" t="str"/>
      <x:c r="F8" t="str">
        <x:v>Verificado</x:v>
      </x:c>
      <x:c r="G8" t="str"/>
      <x:c r="H8" s="32"/>
      <x:c r="I8" s="32"/>
      <x:c r="J8" s="32"/>
      <x:c r="K8" t="str">
        <x:v>Captura 8.09.14</x:v>
      </x:c>
      <x:c r="L8" t="str"/>
    </x:row>
    <x:row r="9" ht="18" customHeight="1">
      <x:c r="A9" t="n">
        <x:v>8</x:v>
      </x:c>
      <x:c r="B9" t="str">
        <x:v>Juego De Cubiertos Huevo Dorado</x:v>
      </x:c>
      <x:c r="C9" t="str">
        <x:v>Cocina</x:v>
      </x:c>
      <x:c r="D9" t="str">
        <x:v>Utensilios</x:v>
      </x:c>
      <x:c r="E9" t="str"/>
      <x:c r="F9" t="str">
        <x:v>Verificado</x:v>
      </x:c>
      <x:c r="G9" t="str"/>
      <x:c r="H9" s="32"/>
      <x:c r="I9" s="32"/>
      <x:c r="J9" s="32"/>
      <x:c r="K9" t="str">
        <x:v>Captura 8.09.14</x:v>
      </x:c>
      <x:c r="L9" t="str"/>
    </x:row>
    <x:row r="10" ht="18" customHeight="1">
      <x:c r="A10" t="n">
        <x:v>9</x:v>
      </x:c>
      <x:c r="B10" t="str">
        <x:v>Plancha Pequeña Viajera Para Cabello</x:v>
      </x:c>
      <x:c r="C10" t="str">
        <x:v>Belleza</x:v>
      </x:c>
      <x:c r="D10" t="str">
        <x:v>Cuidado capilar</x:v>
      </x:c>
      <x:c r="E10" t="str"/>
      <x:c r="F10" t="str">
        <x:v>Verificado</x:v>
      </x:c>
      <x:c r="G10" t="str"/>
      <x:c r="H10" s="32"/>
      <x:c r="I10" s="32"/>
      <x:c r="J10" s="32"/>
      <x:c r="K10" t="str">
        <x:v>Captura 8.09.14</x:v>
      </x:c>
      <x:c r="L10" t="str"/>
    </x:row>
    <x:row r="11" ht="18" customHeight="1">
      <x:c r="A11" t="n">
        <x:v>10</x:v>
      </x:c>
      <x:c r="B11" t="str">
        <x:v>2 Pares De Protectores Gimnasia Pasiva</x:v>
      </x:c>
      <x:c r="C11" t="str">
        <x:v>Bienestar</x:v>
      </x:c>
      <x:c r="D11" t="str">
        <x:v>Gimnasia pasiva</x:v>
      </x:c>
      <x:c r="E11" t="str"/>
      <x:c r="F11" t="str">
        <x:v>Verificado</x:v>
      </x:c>
      <x:c r="G11" t="str"/>
      <x:c r="H11" s="32"/>
      <x:c r="I11" s="32"/>
      <x:c r="J11" s="32"/>
      <x:c r="K11" t="str">
        <x:v>Captura 8.09.14</x:v>
      </x:c>
      <x:c r="L11" t="str"/>
    </x:row>
    <x:row r="12" ht="18" customHeight="1">
      <x:c r="A12" t="n">
        <x:v>11</x:v>
      </x:c>
      <x:c r="B12" t="str">
        <x:v>Cojin Cervical Terapeutico</x:v>
      </x:c>
      <x:c r="C12" t="str">
        <x:v>Bienestar</x:v>
      </x:c>
      <x:c r="D12" t="str">
        <x:v>Soporte cervical</x:v>
      </x:c>
      <x:c r="E12" t="str"/>
      <x:c r="F12" t="str">
        <x:v>Verificado</x:v>
      </x:c>
      <x:c r="G12" t="str"/>
      <x:c r="H12" s="32"/>
      <x:c r="I12" s="32"/>
      <x:c r="J12" s="32"/>
      <x:c r="K12" t="str">
        <x:v>Captura 8.09.14</x:v>
      </x:c>
      <x:c r="L12" t="str"/>
    </x:row>
    <x:row r="13" ht="18" customHeight="1">
      <x:c r="A13" t="n">
        <x:v>12</x:v>
      </x:c>
      <x:c r="B13" t="str">
        <x:v>Molino Procesador Sokany</x:v>
      </x:c>
      <x:c r="C13" t="str">
        <x:v>Cocina</x:v>
      </x:c>
      <x:c r="D13" t="str">
        <x:v>Procesador / molino</x:v>
      </x:c>
      <x:c r="E13" t="str"/>
      <x:c r="F13" t="str">
        <x:v>Verificado</x:v>
      </x:c>
      <x:c r="G13" t="str"/>
      <x:c r="H13" s="32"/>
      <x:c r="I13" s="32"/>
      <x:c r="J13" s="32"/>
      <x:c r="K13" t="str">
        <x:v>Captura 8.09.14</x:v>
      </x:c>
      <x:c r="L13" t="str"/>
    </x:row>
    <x:row r="14" ht="18" customHeight="1">
      <x:c r="A14" t="n">
        <x:v>13</x:v>
      </x:c>
      <x:c r="B14" t="str">
        <x:v>Compresor De Aire Llanta Balones</x:v>
      </x:c>
      <x:c r="C14" t="str">
        <x:v>Herramientas</x:v>
      </x:c>
      <x:c r="D14" t="str">
        <x:v>Compresor</x:v>
      </x:c>
      <x:c r="E14" t="str"/>
      <x:c r="F14" t="str">
        <x:v>Verificado</x:v>
      </x:c>
      <x:c r="G14" t="str"/>
      <x:c r="H14" s="32"/>
      <x:c r="I14" s="32"/>
      <x:c r="J14" s="32"/>
      <x:c r="K14" t="str">
        <x:v>Captura 8.09.14</x:v>
      </x:c>
      <x:c r="L14" t="str"/>
    </x:row>
    <x:row r="15" ht="18" customHeight="1">
      <x:c r="A15" t="n">
        <x:v>14</x:v>
      </x:c>
      <x:c r="B15" t="str">
        <x:v>Combo X2 Almohadas Cervicales</x:v>
      </x:c>
      <x:c r="C15" t="str">
        <x:v>Bienestar</x:v>
      </x:c>
      <x:c r="D15" t="str">
        <x:v>Soporte cervical</x:v>
      </x:c>
      <x:c r="E15" t="str"/>
      <x:c r="F15" t="str">
        <x:v>Verificado</x:v>
      </x:c>
      <x:c r="G15" t="str"/>
      <x:c r="H15" s="32"/>
      <x:c r="I15" s="32"/>
      <x:c r="J15" s="32"/>
      <x:c r="K15" t="str">
        <x:v>Captura 8.09.14</x:v>
      </x:c>
      <x:c r="L15" t="str"/>
    </x:row>
    <x:row r="16" ht="18" customHeight="1">
      <x:c r="A16" t="n">
        <x:v>15</x:v>
      </x:c>
      <x:c r="B16" t="str">
        <x:v>Maleta Antirrobo De Trinetas</x:v>
      </x:c>
      <x:c r="C16" t="str">
        <x:v>Defensa Personal</x:v>
      </x:c>
      <x:c r="D16" t="str">
        <x:v>Maleta / antirrobo</x:v>
      </x:c>
      <x:c r="E16" t="str"/>
      <x:c r="F16" t="str">
        <x:v>Verificado</x:v>
      </x:c>
      <x:c r="G16" t="str"/>
      <x:c r="H16" s="32"/>
      <x:c r="I16" s="32"/>
      <x:c r="J16" s="32"/>
      <x:c r="K16" t="str">
        <x:v>Captura 8.09.14</x:v>
      </x:c>
      <x:c r="L16" t="str"/>
    </x:row>
    <x:row r="17" ht="18" customHeight="1">
      <x:c r="A17" t="n">
        <x:v>16</x:v>
      </x:c>
      <x:c r="B17" t="str">
        <x:v>Peluche Para Dormir Luces Y Movimiento</x:v>
      </x:c>
      <x:c r="C17" t="str">
        <x:v>Juguetería</x:v>
      </x:c>
      <x:c r="D17" t="str">
        <x:v>Peluche interactivo</x:v>
      </x:c>
      <x:c r="E17" t="str"/>
      <x:c r="F17" t="str">
        <x:v>Verificado</x:v>
      </x:c>
      <x:c r="G17" t="str"/>
      <x:c r="H17" s="32"/>
      <x:c r="I17" s="32"/>
      <x:c r="J17" s="32"/>
      <x:c r="K17" t="str">
        <x:v>Captura 8.09.14</x:v>
      </x:c>
      <x:c r="L17" t="str"/>
    </x:row>
    <x:row r="18" ht="18" customHeight="1">
      <x:c r="A18" t="n">
        <x:v>17</x:v>
      </x:c>
      <x:c r="B18" t="str">
        <x:v>Termo Stanley Acero Inoxidable</x:v>
      </x:c>
      <x:c r="C18" t="str">
        <x:v>Hogar</x:v>
      </x:c>
      <x:c r="D18" t="str">
        <x:v>Termos</x:v>
      </x:c>
      <x:c r="E18" t="str"/>
      <x:c r="F18" t="str">
        <x:v>Verificado</x:v>
      </x:c>
      <x:c r="G18" t="str"/>
      <x:c r="H18" s="32"/>
      <x:c r="I18" s="32"/>
      <x:c r="J18" s="32"/>
      <x:c r="K18" t="str">
        <x:v>Captura 8.09.14</x:v>
      </x:c>
      <x:c r="L18" t="str"/>
    </x:row>
    <x:row r="19" ht="18" customHeight="1">
      <x:c r="A19" t="n">
        <x:v>18</x:v>
      </x:c>
      <x:c r="B19" t="str">
        <x:v>Chocolatera Fundidora De Chocolate</x:v>
      </x:c>
      <x:c r="C19" t="str">
        <x:v>Cocina</x:v>
      </x:c>
      <x:c r="D19" t="str">
        <x:v>Fundidora</x:v>
      </x:c>
      <x:c r="E19" t="str"/>
      <x:c r="F19" t="str">
        <x:v>Verificado</x:v>
      </x:c>
      <x:c r="G19" t="str"/>
      <x:c r="H19" s="32"/>
      <x:c r="I19" s="32"/>
      <x:c r="J19" s="32"/>
      <x:c r="K19" t="str">
        <x:v>Captura 8.09.14</x:v>
      </x:c>
      <x:c r="L19" t="str"/>
    </x:row>
    <x:row r="20" ht="18" customHeight="1">
      <x:c r="A20" t="n">
        <x:v>19</x:v>
      </x:c>
      <x:c r="B20" t="str">
        <x:v>Combo Oximetro Tensiometro</x:v>
      </x:c>
      <x:c r="C20" t="str">
        <x:v>Salud</x:v>
      </x:c>
      <x:c r="D20" t="str">
        <x:v>Medición salud</x:v>
      </x:c>
      <x:c r="E20" t="str"/>
      <x:c r="F20" t="str">
        <x:v>Verificado</x:v>
      </x:c>
      <x:c r="G20" t="str"/>
      <x:c r="H20" s="32"/>
      <x:c r="I20" s="32"/>
      <x:c r="J20" s="32"/>
      <x:c r="K20" t="str">
        <x:v>Captura 8.09.14</x:v>
      </x:c>
      <x:c r="L20" t="str"/>
    </x:row>
    <x:row r="21" ht="18" customHeight="1">
      <x:c r="A21" t="n">
        <x:v>20</x:v>
      </x:c>
      <x:c r="B21" t="str">
        <x:v>Colchon De Camping Inflable</x:v>
      </x:c>
      <x:c r="C21" t="str">
        <x:v>Hogar</x:v>
      </x:c>
      <x:c r="D21" t="str">
        <x:v>Camping</x:v>
      </x:c>
      <x:c r="E21" t="str"/>
      <x:c r="F21" t="str">
        <x:v>Verificado</x:v>
      </x:c>
      <x:c r="G21" t="str"/>
      <x:c r="H21" s="32"/>
      <x:c r="I21" s="32"/>
      <x:c r="J21" s="32"/>
      <x:c r="K21" t="str">
        <x:v>Captura 8.09.14</x:v>
      </x:c>
      <x:c r="L21" t="str"/>
    </x:row>
    <x:row r="22" ht="18" customHeight="1">
      <x:c r="A22" t="n">
        <x:v>21</x:v>
      </x:c>
      <x:c r="B22" t="str">
        <x:v>Antena Tdt Interior Tm 1080</x:v>
      </x:c>
      <x:c r="C22" t="str">
        <x:v>Tecnología</x:v>
      </x:c>
      <x:c r="D22" t="str">
        <x:v>TV / antenas</x:v>
      </x:c>
      <x:c r="E22" t="str"/>
      <x:c r="F22" t="str">
        <x:v>Verificado</x:v>
      </x:c>
      <x:c r="G22" t="str"/>
      <x:c r="H22" s="32"/>
      <x:c r="I22" s="32"/>
      <x:c r="J22" s="32"/>
      <x:c r="K22" t="str">
        <x:v>Captura 8.09.14</x:v>
      </x:c>
      <x:c r="L22" t="str"/>
    </x:row>
    <x:row r="23" ht="18" customHeight="1">
      <x:c r="A23" t="n">
        <x:v>22</x:v>
      </x:c>
      <x:c r="B23" t="str">
        <x:v>Soporte De Chupas Para Baño Antideslizante</x:v>
      </x:c>
      <x:c r="C23" t="str">
        <x:v>Hogar</x:v>
      </x:c>
      <x:c r="D23" t="str">
        <x:v>Baño</x:v>
      </x:c>
      <x:c r="E23" t="str"/>
      <x:c r="F23" t="str">
        <x:v>Verificado</x:v>
      </x:c>
      <x:c r="G23" t="str"/>
      <x:c r="H23" s="32"/>
      <x:c r="I23" s="32"/>
      <x:c r="J23" s="32"/>
      <x:c r="K23" t="str">
        <x:v>Captura 8.09.14</x:v>
      </x:c>
      <x:c r="L23" t="str"/>
    </x:row>
    <x:row r="24" ht="18" customHeight="1">
      <x:c r="A24" t="n">
        <x:v>23</x:v>
      </x:c>
      <x:c r="B24" t="str">
        <x:v>Secador Del Plancha Aguacate Rizador</x:v>
      </x:c>
      <x:c r="C24" t="str">
        <x:v>Belleza</x:v>
      </x:c>
      <x:c r="D24" t="str">
        <x:v>Cuidado capilar</x:v>
      </x:c>
      <x:c r="E24" t="str"/>
      <x:c r="F24" t="str">
        <x:v>Verificado</x:v>
      </x:c>
      <x:c r="G24" t="str"/>
      <x:c r="H24" s="32"/>
      <x:c r="I24" s="32"/>
      <x:c r="J24" s="32"/>
      <x:c r="K24" t="str">
        <x:v>Captura 8.09.14</x:v>
      </x:c>
      <x:c r="L24" t="str"/>
    </x:row>
    <x:row r="25" ht="18" customHeight="1">
      <x:c r="A25" t="n">
        <x:v>24</x:v>
      </x:c>
      <x:c r="B25" t="str">
        <x:v>Timbre Con Camara Inteligente Inalambrico</x:v>
      </x:c>
      <x:c r="C25" t="str">
        <x:v>Tecnología</x:v>
      </x:c>
      <x:c r="D25" t="str">
        <x:v>Seguridad</x:v>
      </x:c>
      <x:c r="E25" t="str"/>
      <x:c r="F25" t="str">
        <x:v>Verificado</x:v>
      </x:c>
      <x:c r="G25" t="str"/>
      <x:c r="H25" s="32"/>
      <x:c r="I25" s="32"/>
      <x:c r="J25" s="32"/>
      <x:c r="K25" t="str">
        <x:v>Captura 8.09.14</x:v>
      </x:c>
      <x:c r="L25" t="str"/>
    </x:row>
    <x:row r="26" ht="18" customHeight="1">
      <x:c r="A26" t="n">
        <x:v>25</x:v>
      </x:c>
      <x:c r="B26" t="str">
        <x:v>Lampara De Mesa Escritorio Brazo Flexible</x:v>
      </x:c>
      <x:c r="C26" t="str">
        <x:v>Hogar</x:v>
      </x:c>
      <x:c r="D26" t="str">
        <x:v>Iluminación</x:v>
      </x:c>
      <x:c r="E26" t="str"/>
      <x:c r="F26" t="str">
        <x:v>Verificado</x:v>
      </x:c>
      <x:c r="G26" t="str"/>
      <x:c r="H26" s="32"/>
      <x:c r="I26" s="32"/>
      <x:c r="J26" s="32"/>
      <x:c r="K26" t="str">
        <x:v>Captura 8.09.14</x:v>
      </x:c>
      <x:c r="L26" t="str"/>
    </x:row>
    <x:row r="27" ht="18" customHeight="1">
      <x:c r="A27" t="n">
        <x:v>26</x:v>
      </x:c>
      <x:c r="B27" t="str">
        <x:v>Corrector De Postura Espalda</x:v>
      </x:c>
      <x:c r="C27" t="str">
        <x:v>Bienestar</x:v>
      </x:c>
      <x:c r="D27" t="str">
        <x:v>Postura</x:v>
      </x:c>
      <x:c r="E27" t="str"/>
      <x:c r="F27" t="str">
        <x:v>Verificado</x:v>
      </x:c>
      <x:c r="G27" t="str"/>
      <x:c r="H27" s="32"/>
      <x:c r="I27" s="32"/>
      <x:c r="J27" s="32"/>
      <x:c r="K27" t="str">
        <x:v>Captura 8.09.14</x:v>
      </x:c>
      <x:c r="L27" t="str"/>
    </x:row>
    <x:row r="28" ht="18" customHeight="1">
      <x:c r="A28" t="n">
        <x:v>27</x:v>
      </x:c>
      <x:c r="B28" t="str">
        <x:v>El Lapiz Acupuntura Electronico 3 En 1</x:v>
      </x:c>
      <x:c r="C28" t="str">
        <x:v>Bienestar</x:v>
      </x:c>
      <x:c r="D28" t="str">
        <x:v>Acupuntura / masaje</x:v>
      </x:c>
      <x:c r="E28" t="str"/>
      <x:c r="F28" t="str">
        <x:v>Verificado</x:v>
      </x:c>
      <x:c r="G28" t="str"/>
      <x:c r="H28" s="32"/>
      <x:c r="I28" s="32"/>
      <x:c r="J28" s="32"/>
      <x:c r="K28" t="str">
        <x:v>Captura 8.09.14</x:v>
      </x:c>
      <x:c r="L28" t="str"/>
    </x:row>
    <x:row r="29" ht="18" customHeight="1">
      <x:c r="A29" t="n">
        <x:v>28</x:v>
      </x:c>
      <x:c r="B29" t="str">
        <x:v>Combo Plancha Aguacate Secador De Pelo</x:v>
      </x:c>
      <x:c r="C29" t="str">
        <x:v>Belleza</x:v>
      </x:c>
      <x:c r="D29" t="str">
        <x:v>Cuidado capilar</x:v>
      </x:c>
      <x:c r="E29" t="str"/>
      <x:c r="F29" t="str">
        <x:v>Verificado</x:v>
      </x:c>
      <x:c r="G29" t="str"/>
      <x:c r="H29" s="32"/>
      <x:c r="I29" s="32"/>
      <x:c r="J29" s="32"/>
      <x:c r="K29" t="str">
        <x:v>Captura 8.09.14</x:v>
      </x:c>
      <x:c r="L29" t="str"/>
    </x:row>
    <x:row r="30" ht="18" customHeight="1">
      <x:c r="A30" t="n">
        <x:v>29</x:v>
      </x:c>
      <x:c r="B30" t="str">
        <x:v>Destornillador Electrico Inalambrico</x:v>
      </x:c>
      <x:c r="C30" t="str">
        <x:v>Herramientas</x:v>
      </x:c>
      <x:c r="D30" t="str">
        <x:v>Destornillador</x:v>
      </x:c>
      <x:c r="E30" t="str"/>
      <x:c r="F30" t="str">
        <x:v>Verificado</x:v>
      </x:c>
      <x:c r="G30" t="str"/>
      <x:c r="H30" s="32"/>
      <x:c r="I30" s="32"/>
      <x:c r="J30" s="32"/>
      <x:c r="K30" t="str">
        <x:v>Captura 8.09.14</x:v>
      </x:c>
      <x:c r="L30" t="str"/>
    </x:row>
    <x:row r="31" ht="18" customHeight="1">
      <x:c r="A31" t="n">
        <x:v>30</x:v>
      </x:c>
      <x:c r="B31" t="str">
        <x:v>Organizador De Cocina Con Tapa 2 Niveles</x:v>
      </x:c>
      <x:c r="C31" t="str">
        <x:v>Hogar</x:v>
      </x:c>
      <x:c r="D31" t="str">
        <x:v>Organización</x:v>
      </x:c>
      <x:c r="E31" t="str"/>
      <x:c r="F31" t="str">
        <x:v>Verificado</x:v>
      </x:c>
      <x:c r="G31" t="str"/>
      <x:c r="H31" s="32"/>
      <x:c r="I31" s="32"/>
      <x:c r="J31" s="32"/>
      <x:c r="K31" t="str">
        <x:v>Captura 8.09.14</x:v>
      </x:c>
      <x:c r="L31" t="str"/>
    </x:row>
    <x:row r="32" ht="18" customHeight="1">
      <x:c r="A32" t="n">
        <x:v>31</x:v>
      </x:c>
      <x:c r="B32" t="str">
        <x:v>Pistola Para Pintar 400W Elite</x:v>
      </x:c>
      <x:c r="C32" t="str">
        <x:v>Herramientas</x:v>
      </x:c>
      <x:c r="D32" t="str">
        <x:v>Pintura</x:v>
      </x:c>
      <x:c r="E32" t="str"/>
      <x:c r="F32" t="str">
        <x:v>Verificado</x:v>
      </x:c>
      <x:c r="G32" t="str"/>
      <x:c r="H32" s="32"/>
      <x:c r="I32" s="32"/>
      <x:c r="J32" s="32"/>
      <x:c r="K32" t="str">
        <x:v>Captura 8.09.02</x:v>
      </x:c>
      <x:c r="L32" t="str"/>
    </x:row>
    <x:row r="33" ht="18" customHeight="1">
      <x:c r="A33" t="n">
        <x:v>32</x:v>
      </x:c>
      <x:c r="B33" t="str">
        <x:v>Combo Ruedabanda Masajeador Mini</x:v>
      </x:c>
      <x:c r="C33" t="str">
        <x:v>Deportes</x:v>
      </x:c>
      <x:c r="D33" t="str">
        <x:v>Ejercicio / masaje</x:v>
      </x:c>
      <x:c r="E33" t="str"/>
      <x:c r="F33" t="str">
        <x:v>Verificado</x:v>
      </x:c>
      <x:c r="G33" t="str"/>
      <x:c r="H33" s="32"/>
      <x:c r="I33" s="32"/>
      <x:c r="J33" s="32"/>
      <x:c r="K33" t="str">
        <x:v>Captura 8.09.02</x:v>
      </x:c>
      <x:c r="L33" t="str"/>
    </x:row>
    <x:row r="34" ht="18" customHeight="1">
      <x:c r="A34" t="n">
        <x:v>33</x:v>
      </x:c>
      <x:c r="B34" t="str">
        <x:v>Carretilla Carreta Carro Plegable Zorra</x:v>
      </x:c>
      <x:c r="C34" t="str">
        <x:v>Herramientas</x:v>
      </x:c>
      <x:c r="D34" t="str">
        <x:v>Transporte carga</x:v>
      </x:c>
      <x:c r="E34" t="str"/>
      <x:c r="F34" t="str">
        <x:v>Verificado</x:v>
      </x:c>
      <x:c r="G34" t="str"/>
      <x:c r="H34" s="32"/>
      <x:c r="I34" s="32"/>
      <x:c r="J34" s="32"/>
      <x:c r="K34" t="str">
        <x:v>Captura 8.09.02</x:v>
      </x:c>
      <x:c r="L34" t="str"/>
    </x:row>
    <x:row r="35" ht="18" customHeight="1">
      <x:c r="A35" t="n">
        <x:v>34</x:v>
      </x:c>
      <x:c r="B35" t="str">
        <x:v>Reflector Dj Luces Led</x:v>
      </x:c>
      <x:c r="C35" t="str">
        <x:v>Tecnología</x:v>
      </x:c>
      <x:c r="D35" t="str">
        <x:v>Iluminación</x:v>
      </x:c>
      <x:c r="E35" t="str"/>
      <x:c r="F35" t="str">
        <x:v>Verificado</x:v>
      </x:c>
      <x:c r="G35" t="str"/>
      <x:c r="H35" s="32"/>
      <x:c r="I35" s="32"/>
      <x:c r="J35" s="32"/>
      <x:c r="K35" t="str">
        <x:v>Captura 8.09.02</x:v>
      </x:c>
      <x:c r="L35" t="str"/>
    </x:row>
    <x:row r="36" ht="18" customHeight="1">
      <x:c r="A36" t="n">
        <x:v>35</x:v>
      </x:c>
      <x:c r="B36" t="str">
        <x:v>Kit Solar Gd8017 3 Bombillos Linterna</x:v>
      </x:c>
      <x:c r="C36" t="str">
        <x:v>Tecnología</x:v>
      </x:c>
      <x:c r="D36" t="str">
        <x:v>Solar / iluminación</x:v>
      </x:c>
      <x:c r="E36" t="str"/>
      <x:c r="F36" t="str">
        <x:v>Verificado</x:v>
      </x:c>
      <x:c r="G36" t="str"/>
      <x:c r="H36" s="32"/>
      <x:c r="I36" s="32"/>
      <x:c r="J36" s="32"/>
      <x:c r="K36" t="str">
        <x:v>Captura 8.09.02</x:v>
      </x:c>
      <x:c r="L36" t="str"/>
    </x:row>
    <x:row r="37" ht="18" customHeight="1">
      <x:c r="A37" t="n">
        <x:v>36</x:v>
      </x:c>
      <x:c r="B37" t="str">
        <x:v>Sillin Silla Individual Inflable</x:v>
      </x:c>
      <x:c r="C37" t="str">
        <x:v>Hogar</x:v>
      </x:c>
      <x:c r="D37" t="str">
        <x:v>Inflables</x:v>
      </x:c>
      <x:c r="E37" t="str"/>
      <x:c r="F37" t="str">
        <x:v>Verificado</x:v>
      </x:c>
      <x:c r="G37" t="str"/>
      <x:c r="H37" s="32"/>
      <x:c r="I37" s="32"/>
      <x:c r="J37" s="32"/>
      <x:c r="K37" t="str">
        <x:v>Captura 8.09.02</x:v>
      </x:c>
      <x:c r="L37" t="str"/>
    </x:row>
    <x:row r="38" ht="18" customHeight="1">
      <x:c r="A38" t="n">
        <x:v>37</x:v>
      </x:c>
      <x:c r="B38" t="str">
        <x:v>Juego De Ollas Y Utensilios 13 Piezas</x:v>
      </x:c>
      <x:c r="C38" t="str">
        <x:v>Cocina</x:v>
      </x:c>
      <x:c r="D38" t="str">
        <x:v>Ollas / utensilios</x:v>
      </x:c>
      <x:c r="E38" t="str"/>
      <x:c r="F38" t="str">
        <x:v>Verificado</x:v>
      </x:c>
      <x:c r="G38" t="str"/>
      <x:c r="H38" s="32"/>
      <x:c r="I38" s="32"/>
      <x:c r="J38" s="32"/>
      <x:c r="K38" t="str">
        <x:v>Captura 8.09.02</x:v>
      </x:c>
      <x:c r="L38" t="str"/>
    </x:row>
    <x:row r="39" ht="18" customHeight="1">
      <x:c r="A39" t="n">
        <x:v>38</x:v>
      </x:c>
      <x:c r="B39" t="str">
        <x:v>Tapete Extra Grande Plegable Para Bebe</x:v>
      </x:c>
      <x:c r="C39" t="str">
        <x:v>Bebé</x:v>
      </x:c>
      <x:c r="D39" t="str">
        <x:v>Tapete bebé</x:v>
      </x:c>
      <x:c r="E39" t="str"/>
      <x:c r="F39" t="str">
        <x:v>Verificado</x:v>
      </x:c>
      <x:c r="G39" t="str"/>
      <x:c r="H39" s="32"/>
      <x:c r="I39" s="32"/>
      <x:c r="J39" s="32"/>
      <x:c r="K39" t="str">
        <x:v>Captura 8.09.02</x:v>
      </x:c>
      <x:c r="L39" t="str"/>
    </x:row>
    <x:row r="40" ht="18" customHeight="1">
      <x:c r="A40" t="n">
        <x:v>39</x:v>
      </x:c>
      <x:c r="B40" t="str">
        <x:v>Mini Maquina Donaquina Olla Fundidora</x:v>
      </x:c>
      <x:c r="C40" t="str">
        <x:v>Cocina</x:v>
      </x:c>
      <x:c r="D40" t="str">
        <x:v>Fundidora</x:v>
      </x:c>
      <x:c r="E40" t="str"/>
      <x:c r="F40" t="str">
        <x:v>Verificado</x:v>
      </x:c>
      <x:c r="G40" t="str"/>
      <x:c r="H40" s="32"/>
      <x:c r="I40" s="32"/>
      <x:c r="J40" s="32"/>
      <x:c r="K40" t="str">
        <x:v>Captura 8.09.02</x:v>
      </x:c>
      <x:c r="L40" t="str"/>
    </x:row>
    <x:row r="41" ht="18" customHeight="1">
      <x:c r="A41" t="n">
        <x:v>40</x:v>
      </x:c>
      <x:c r="B41" t="str">
        <x:v>Rodillo Rueda Abdominal Automatico</x:v>
      </x:c>
      <x:c r="C41" t="str">
        <x:v>Deportes</x:v>
      </x:c>
      <x:c r="D41" t="str">
        <x:v>Ejercicio</x:v>
      </x:c>
      <x:c r="E41" t="str"/>
      <x:c r="F41" t="str">
        <x:v>Verificado</x:v>
      </x:c>
      <x:c r="G41" t="str"/>
      <x:c r="H41" s="32"/>
      <x:c r="I41" s="32"/>
      <x:c r="J41" s="32"/>
      <x:c r="K41" t="str">
        <x:v>Captura 8.09.02</x:v>
      </x:c>
      <x:c r="L41" t="str"/>
    </x:row>
    <x:row r="42" ht="18" customHeight="1">
      <x:c r="A42" t="n">
        <x:v>41</x:v>
      </x:c>
      <x:c r="B42" t="str">
        <x:v>Zapatero 6 Niveles Doble De Tela</x:v>
      </x:c>
      <x:c r="C42" t="str">
        <x:v>Hogar</x:v>
      </x:c>
      <x:c r="D42" t="str">
        <x:v>Organización</x:v>
      </x:c>
      <x:c r="E42" t="str"/>
      <x:c r="F42" t="str">
        <x:v>Verificado</x:v>
      </x:c>
      <x:c r="G42" t="str"/>
      <x:c r="H42" s="32"/>
      <x:c r="I42" s="32"/>
      <x:c r="J42" s="32"/>
      <x:c r="K42" t="str">
        <x:v>Captura 8.09.02</x:v>
      </x:c>
      <x:c r="L42" t="str"/>
    </x:row>
    <x:row r="43" ht="18" customHeight="1">
      <x:c r="A43" t="n">
        <x:v>42</x:v>
      </x:c>
      <x:c r="B43" t="str">
        <x:v>Extractor Nasal Bebes Saca Mocos</x:v>
      </x:c>
      <x:c r="C43" t="str">
        <x:v>Salud</x:v>
      </x:c>
      <x:c r="D43" t="str">
        <x:v>Cuidado bebé</x:v>
      </x:c>
      <x:c r="E43" t="str"/>
      <x:c r="F43" t="str">
        <x:v>Verificado</x:v>
      </x:c>
      <x:c r="G43" t="str"/>
      <x:c r="H43" s="32"/>
      <x:c r="I43" s="32"/>
      <x:c r="J43" s="32"/>
      <x:c r="K43" t="str">
        <x:v>Captura 8.09.02</x:v>
      </x:c>
      <x:c r="L43" t="str"/>
    </x:row>
    <x:row r="44" ht="18" customHeight="1">
      <x:c r="A44" t="n">
        <x:v>43</x:v>
      </x:c>
      <x:c r="B44" t="str">
        <x:v>Juguete Avion Dron Con Control</x:v>
      </x:c>
      <x:c r="C44" t="str">
        <x:v>Juguetería</x:v>
      </x:c>
      <x:c r="D44" t="str">
        <x:v>Dron / juguete</x:v>
      </x:c>
      <x:c r="E44" t="str"/>
      <x:c r="F44" t="str">
        <x:v>Verificado</x:v>
      </x:c>
      <x:c r="G44" t="str"/>
      <x:c r="H44" s="32"/>
      <x:c r="I44" s="32"/>
      <x:c r="J44" s="32"/>
      <x:c r="K44" t="str">
        <x:v>Captura 8.09.02</x:v>
      </x:c>
      <x:c r="L44" t="str"/>
    </x:row>
    <x:row r="45" ht="18" customHeight="1">
      <x:c r="A45" t="n">
        <x:v>44</x:v>
      </x:c>
      <x:c r="B45" t="str">
        <x:v>Lampara De Mesa Brazo Flexible</x:v>
      </x:c>
      <x:c r="C45" t="str">
        <x:v>Hogar</x:v>
      </x:c>
      <x:c r="D45" t="str">
        <x:v>Iluminación</x:v>
      </x:c>
      <x:c r="E45" t="str"/>
      <x:c r="F45" t="str">
        <x:v>Verificado</x:v>
      </x:c>
      <x:c r="G45" t="str"/>
      <x:c r="H45" s="32"/>
      <x:c r="I45" s="32"/>
      <x:c r="J45" s="32"/>
      <x:c r="K45" t="str">
        <x:v>Captura 8.09.02</x:v>
      </x:c>
      <x:c r="L45" t="str"/>
    </x:row>
    <x:row r="46" ht="18" customHeight="1">
      <x:c r="A46" t="n">
        <x:v>45</x:v>
      </x:c>
      <x:c r="B46" t="str">
        <x:v>Espejo Luz Led Parasol Carro Tocador</x:v>
      </x:c>
      <x:c r="C46" t="str">
        <x:v>Vehículos</x:v>
      </x:c>
      <x:c r="D46" t="str">
        <x:v>Accesorio carro</x:v>
      </x:c>
      <x:c r="E46" t="str"/>
      <x:c r="F46" t="str">
        <x:v>Verificado</x:v>
      </x:c>
      <x:c r="G46" t="str"/>
      <x:c r="H46" s="32"/>
      <x:c r="I46" s="32"/>
      <x:c r="J46" s="32"/>
      <x:c r="K46" t="str">
        <x:v>Captura 8.09.02</x:v>
      </x:c>
      <x:c r="L46" t="str"/>
    </x:row>
    <x:row r="47" ht="18" customHeight="1">
      <x:c r="A47" t="n">
        <x:v>46</x:v>
      </x:c>
      <x:c r="B47" t="str">
        <x:v>Cinturon Para Colicos Alambres Resfriad</x:v>
      </x:c>
      <x:c r="C47" t="str">
        <x:v>Bienestar</x:v>
      </x:c>
      <x:c r="D47" t="str">
        <x:v>Cólicos / terapia</x:v>
      </x:c>
      <x:c r="E47" t="str"/>
      <x:c r="F47" t="str">
        <x:v>Verificado</x:v>
      </x:c>
      <x:c r="G47" t="str"/>
      <x:c r="H47" s="32"/>
      <x:c r="I47" s="32"/>
      <x:c r="J47" s="32"/>
      <x:c r="K47" t="str">
        <x:v>Captura 8.09.02</x:v>
      </x:c>
      <x:c r="L47" t="str"/>
    </x:row>
    <x:row r="48" ht="18" customHeight="1">
      <x:c r="A48" t="n">
        <x:v>47</x:v>
      </x:c>
      <x:c r="B48" t="str">
        <x:v>Balanza Gramera Bascula Pesa Digital</x:v>
      </x:c>
      <x:c r="C48" t="str">
        <x:v>Cocina</x:v>
      </x:c>
      <x:c r="D48" t="str">
        <x:v>Báscula</x:v>
      </x:c>
      <x:c r="E48" t="str"/>
      <x:c r="F48" t="str">
        <x:v>Verificado</x:v>
      </x:c>
      <x:c r="G48" t="str"/>
      <x:c r="H48" s="32"/>
      <x:c r="I48" s="32"/>
      <x:c r="J48" s="32"/>
      <x:c r="K48" t="str">
        <x:v>Captura 8.09.02</x:v>
      </x:c>
      <x:c r="L48" t="str"/>
    </x:row>
    <x:row r="49" ht="18" customHeight="1">
      <x:c r="A49" t="n">
        <x:v>48</x:v>
      </x:c>
      <x:c r="B49" t="str">
        <x:v>Zapatero De Tela 5 Puertas</x:v>
      </x:c>
      <x:c r="C49" t="str">
        <x:v>Hogar</x:v>
      </x:c>
      <x:c r="D49" t="str">
        <x:v>Organización</x:v>
      </x:c>
      <x:c r="E49" t="str"/>
      <x:c r="F49" t="str">
        <x:v>Verificado</x:v>
      </x:c>
      <x:c r="G49" t="str"/>
      <x:c r="H49" s="32"/>
      <x:c r="I49" s="32"/>
      <x:c r="J49" s="32"/>
      <x:c r="K49" t="str">
        <x:v>Captura 8.09.02</x:v>
      </x:c>
      <x:c r="L49" t="str"/>
    </x:row>
    <x:row r="50" ht="18" customHeight="1">
      <x:c r="A50" t="n">
        <x:v>49</x:v>
      </x:c>
      <x:c r="B50" t="str">
        <x:v>Set De Arte 145 Piezas</x:v>
      </x:c>
      <x:c r="C50" t="str">
        <x:v>Juguetería</x:v>
      </x:c>
      <x:c r="D50" t="str">
        <x:v>Arte / niños</x:v>
      </x:c>
      <x:c r="E50" t="str"/>
      <x:c r="F50" t="str">
        <x:v>Verificado</x:v>
      </x:c>
      <x:c r="G50" t="str"/>
      <x:c r="H50" s="32"/>
      <x:c r="I50" s="32"/>
      <x:c r="J50" s="32"/>
      <x:c r="K50" t="str">
        <x:v>Captura 8.09.02</x:v>
      </x:c>
      <x:c r="L50" t="str"/>
    </x:row>
    <x:row r="51" ht="18" customHeight="1">
      <x:c r="A51" t="n">
        <x:v>50</x:v>
      </x:c>
      <x:c r="B51" t="str">
        <x:v>Tendedero De Ropa Plegable 4 Niveles</x:v>
      </x:c>
      <x:c r="C51" t="str">
        <x:v>Hogar</x:v>
      </x:c>
      <x:c r="D51" t="str">
        <x:v>Lavandería</x:v>
      </x:c>
      <x:c r="E51" t="str"/>
      <x:c r="F51" t="str">
        <x:v>Verificado</x:v>
      </x:c>
      <x:c r="G51" t="str"/>
      <x:c r="H51" s="32"/>
      <x:c r="I51" s="32"/>
      <x:c r="J51" s="32"/>
      <x:c r="K51" t="str">
        <x:v>Captura 8.09.02</x:v>
      </x:c>
      <x:c r="L51" t="str"/>
    </x:row>
    <x:row r="52" ht="18" customHeight="1">
      <x:c r="A52" t="n">
        <x:v>51</x:v>
      </x:c>
      <x:c r="B52" t="str">
        <x:v>Pop It Luz Y Sonido Hello Kitty</x:v>
      </x:c>
      <x:c r="C52" t="str">
        <x:v>Juguetería</x:v>
      </x:c>
      <x:c r="D52" t="str">
        <x:v>Pop it</x:v>
      </x:c>
      <x:c r="E52" t="str"/>
      <x:c r="F52" t="str">
        <x:v>Verificado</x:v>
      </x:c>
      <x:c r="G52" t="str"/>
      <x:c r="H52" s="32"/>
      <x:c r="I52" s="32"/>
      <x:c r="J52" s="32"/>
      <x:c r="K52" t="str">
        <x:v>Captura 8.09.02</x:v>
      </x:c>
      <x:c r="L52" t="str"/>
    </x:row>
    <x:row r="53" ht="18" customHeight="1">
      <x:c r="A53" t="n">
        <x:v>52</x:v>
      </x:c>
      <x:c r="B53" t="str">
        <x:v>Decodificador Tdt Dx9221 Antena Wifi</x:v>
      </x:c>
      <x:c r="C53" t="str">
        <x:v>Tecnología</x:v>
      </x:c>
      <x:c r="D53" t="str">
        <x:v>TV / decodificador</x:v>
      </x:c>
      <x:c r="E53" t="str"/>
      <x:c r="F53" t="str">
        <x:v>Verificado</x:v>
      </x:c>
      <x:c r="G53" t="str"/>
      <x:c r="H53" s="32"/>
      <x:c r="I53" s="32"/>
      <x:c r="J53" s="32"/>
      <x:c r="K53" t="str">
        <x:v>Captura 8.09.02</x:v>
      </x:c>
      <x:c r="L53" t="str"/>
    </x:row>
    <x:row r="54" ht="18" customHeight="1">
      <x:c r="A54" t="n">
        <x:v>53</x:v>
      </x:c>
      <x:c r="B54" t="str">
        <x:v>Mini Aspiradora 12v 60w</x:v>
      </x:c>
      <x:c r="C54" t="str">
        <x:v>Tecnología</x:v>
      </x:c>
      <x:c r="D54" t="str">
        <x:v>Aspiradora</x:v>
      </x:c>
      <x:c r="E54" t="str"/>
      <x:c r="F54" t="str">
        <x:v>Verificado</x:v>
      </x:c>
      <x:c r="G54" t="str"/>
      <x:c r="H54" s="32"/>
      <x:c r="I54" s="32"/>
      <x:c r="J54" s="32"/>
      <x:c r="K54" t="str">
        <x:v>Captura 8.09.02</x:v>
      </x:c>
      <x:c r="L54" t="str"/>
    </x:row>
    <x:row r="55" ht="18" customHeight="1">
      <x:c r="A55" t="n">
        <x:v>54</x:v>
      </x:c>
      <x:c r="B55" t="str">
        <x:v>Juguete Gato Bola Interactivo Inteligente</x:v>
      </x:c>
      <x:c r="C55" t="str">
        <x:v>Mascotas</x:v>
      </x:c>
      <x:c r="D55" t="str">
        <x:v>Juguete mascota</x:v>
      </x:c>
      <x:c r="E55" t="str"/>
      <x:c r="F55" t="str">
        <x:v>Verificado</x:v>
      </x:c>
      <x:c r="G55" t="str"/>
      <x:c r="H55" s="32"/>
      <x:c r="I55" s="32"/>
      <x:c r="J55" s="32"/>
      <x:c r="K55" t="str">
        <x:v>Captura 8.09.02</x:v>
      </x:c>
      <x:c r="L55" t="str"/>
    </x:row>
    <x:row r="56" ht="18" customHeight="1">
      <x:c r="A56" t="n">
        <x:v>55</x:v>
      </x:c>
      <x:c r="B56" t="str">
        <x:v>Rodillera Ortopedica Ajustable</x:v>
      </x:c>
      <x:c r="C56" t="str">
        <x:v>Bienestar</x:v>
      </x:c>
      <x:c r="D56" t="str">
        <x:v>Rodillera</x:v>
      </x:c>
      <x:c r="E56" t="str"/>
      <x:c r="F56" t="str">
        <x:v>Verificado</x:v>
      </x:c>
      <x:c r="G56" t="str"/>
      <x:c r="H56" s="32"/>
      <x:c r="I56" s="32"/>
      <x:c r="J56" s="32"/>
      <x:c r="K56" t="str">
        <x:v>Captura 8.09.02</x:v>
      </x:c>
      <x:c r="L56" t="str"/>
    </x:row>
    <x:row r="57" ht="18" customHeight="1">
      <x:c r="A57" t="n">
        <x:v>56</x:v>
      </x:c>
      <x:c r="B57" t="str">
        <x:v>Corrector De Postura Ajustable Negro</x:v>
      </x:c>
      <x:c r="C57" t="str">
        <x:v>Bienestar</x:v>
      </x:c>
      <x:c r="D57" t="str">
        <x:v>Postura</x:v>
      </x:c>
      <x:c r="E57" t="str"/>
      <x:c r="F57" t="str">
        <x:v>Verificado</x:v>
      </x:c>
      <x:c r="G57" t="str"/>
      <x:c r="H57" s="32"/>
      <x:c r="I57" s="32"/>
      <x:c r="J57" s="32"/>
      <x:c r="K57" t="str">
        <x:v>Captura 8.09.02</x:v>
      </x:c>
      <x:c r="L57" t="str"/>
    </x:row>
    <x:row r="58" ht="18" customHeight="1">
      <x:c r="A58" t="n">
        <x:v>57</x:v>
      </x:c>
      <x:c r="B58" t="str">
        <x:v>Tasa Batidora</x:v>
      </x:c>
      <x:c r="C58" t="str">
        <x:v>Cocina</x:v>
      </x:c>
      <x:c r="D58" t="str">
        <x:v>Batidora</x:v>
      </x:c>
      <x:c r="E58" t="str"/>
      <x:c r="F58" t="str">
        <x:v>Verificado</x:v>
      </x:c>
      <x:c r="G58" t="str"/>
      <x:c r="H58" s="32"/>
      <x:c r="I58" s="32"/>
      <x:c r="J58" s="32"/>
      <x:c r="K58" t="str">
        <x:v>Captura 8.09.02</x:v>
      </x:c>
      <x:c r="L58" t="str"/>
    </x:row>
    <x:row r="59" ht="18" customHeight="1">
      <x:c r="A59" t="n">
        <x:v>58</x:v>
      </x:c>
      <x:c r="B59" t="str">
        <x:v>X3 Luces Led Inalambrica Con Control</x:v>
      </x:c>
      <x:c r="C59" t="str">
        <x:v>Tecnología</x:v>
      </x:c>
      <x:c r="D59" t="str">
        <x:v>Iluminación</x:v>
      </x:c>
      <x:c r="E59" t="str"/>
      <x:c r="F59" t="str">
        <x:v>Verificado</x:v>
      </x:c>
      <x:c r="G59" t="str"/>
      <x:c r="H59" s="32"/>
      <x:c r="I59" s="32"/>
      <x:c r="J59" s="32"/>
      <x:c r="K59" t="str">
        <x:v>Captura 8.09.02</x:v>
      </x:c>
      <x:c r="L59" t="str"/>
    </x:row>
    <x:row r="60" ht="18" customHeight="1">
      <x:c r="A60" t="n">
        <x:v>59</x:v>
      </x:c>
      <x:c r="B60" t="str">
        <x:v>Cepillo Secador One Step Voluminizador</x:v>
      </x:c>
      <x:c r="C60" t="str">
        <x:v>Belleza</x:v>
      </x:c>
      <x:c r="D60" t="str">
        <x:v>Cuidado capilar</x:v>
      </x:c>
      <x:c r="E60" t="str"/>
      <x:c r="F60" t="str">
        <x:v>Verificado</x:v>
      </x:c>
      <x:c r="G60" t="str"/>
      <x:c r="H60" s="32"/>
      <x:c r="I60" s="32"/>
      <x:c r="J60" s="32"/>
      <x:c r="K60" t="str">
        <x:v>Captura 8.09.02</x:v>
      </x:c>
      <x:c r="L60" t="str"/>
    </x:row>
    <x:row r="61" ht="18" customHeight="1">
      <x:c r="A61" t="n">
        <x:v>60</x:v>
      </x:c>
      <x:c r="B61" t="str">
        <x:v>Masajeador Muscular Curvo</x:v>
      </x:c>
      <x:c r="C61" t="str">
        <x:v>Tecnología</x:v>
      </x:c>
      <x:c r="D61" t="str">
        <x:v>Masajeador</x:v>
      </x:c>
      <x:c r="E61" t="str"/>
      <x:c r="F61" t="str">
        <x:v>Verificado</x:v>
      </x:c>
      <x:c r="G61" t="str"/>
      <x:c r="H61" s="32"/>
      <x:c r="I61" s="32"/>
      <x:c r="J61" s="32"/>
      <x:c r="K61" t="str">
        <x:v>Captura 8.09.02</x:v>
      </x:c>
      <x:c r="L61" t="str"/>
    </x:row>
    <x:row r="62" ht="18" customHeight="1">
      <x:c r="A62" t="n">
        <x:v>61</x:v>
      </x:c>
      <x:c r="B62" t="str">
        <x:v>Mini Pistola Masajeador Muscular</x:v>
      </x:c>
      <x:c r="C62" t="str">
        <x:v>Tecnología</x:v>
      </x:c>
      <x:c r="D62" t="str">
        <x:v>Masajeador</x:v>
      </x:c>
      <x:c r="E62" t="str"/>
      <x:c r="F62" t="str">
        <x:v>Verificado</x:v>
      </x:c>
      <x:c r="G62" t="str"/>
      <x:c r="H62" s="32"/>
      <x:c r="I62" s="32"/>
      <x:c r="J62" s="32"/>
      <x:c r="K62" t="str">
        <x:v>Captura 8.08.55</x:v>
      </x:c>
      <x:c r="L62" t="str"/>
    </x:row>
    <x:row r="63" ht="18" customHeight="1">
      <x:c r="A63" t="n">
        <x:v>62</x:v>
      </x:c>
      <x:c r="B63" t="str">
        <x:v>Maquina Gemy 3 En 1 Barberia Recargable</x:v>
      </x:c>
      <x:c r="C63" t="str">
        <x:v>Belleza</x:v>
      </x:c>
      <x:c r="D63" t="str">
        <x:v>Barbería</x:v>
      </x:c>
      <x:c r="E63" t="str"/>
      <x:c r="F63" t="str">
        <x:v>Verificado</x:v>
      </x:c>
      <x:c r="G63" t="str"/>
      <x:c r="H63" s="32"/>
      <x:c r="I63" s="32"/>
      <x:c r="J63" s="32"/>
      <x:c r="K63" t="str">
        <x:v>Captura 8.08.55</x:v>
      </x:c>
      <x:c r="L63" t="str"/>
    </x:row>
    <x:row r="64" ht="18" customHeight="1">
      <x:c r="A64" t="n">
        <x:v>63</x:v>
      </x:c>
      <x:c r="B64" t="str">
        <x:v>Tendedero Doble Organizador De Ropa</x:v>
      </x:c>
      <x:c r="C64" t="str">
        <x:v>Hogar</x:v>
      </x:c>
      <x:c r="D64" t="str">
        <x:v>Lavandería</x:v>
      </x:c>
      <x:c r="E64" t="str"/>
      <x:c r="F64" t="str">
        <x:v>Verificado</x:v>
      </x:c>
      <x:c r="G64" t="str"/>
      <x:c r="H64" s="32"/>
      <x:c r="I64" s="32"/>
      <x:c r="J64" s="32"/>
      <x:c r="K64" t="str">
        <x:v>Captura 8.08.55</x:v>
      </x:c>
      <x:c r="L64" t="str"/>
    </x:row>
    <x:row r="65" ht="18" customHeight="1">
      <x:c r="A65" t="n">
        <x:v>64</x:v>
      </x:c>
      <x:c r="B65" t="str">
        <x:v>Medias Altas Compresion Mejor Circulacion</x:v>
      </x:c>
      <x:c r="C65" t="str">
        <x:v>Salud</x:v>
      </x:c>
      <x:c r="D65" t="str">
        <x:v>Compresión</x:v>
      </x:c>
      <x:c r="E65" t="str"/>
      <x:c r="F65" t="str">
        <x:v>Verificado</x:v>
      </x:c>
      <x:c r="G65" t="str"/>
      <x:c r="H65" s="32"/>
      <x:c r="I65" s="32"/>
      <x:c r="J65" s="32"/>
      <x:c r="K65" t="str">
        <x:v>Captura 8.08.55</x:v>
      </x:c>
      <x:c r="L65" t="str"/>
    </x:row>
    <x:row r="66" ht="18" customHeight="1">
      <x:c r="A66" t="n">
        <x:v>65</x:v>
      </x:c>
      <x:c r="B66" t="str">
        <x:v>Peluche Bailarin Musical Interactivo</x:v>
      </x:c>
      <x:c r="C66" t="str">
        <x:v>Juguetería</x:v>
      </x:c>
      <x:c r="D66" t="str">
        <x:v>Peluche interactivo</x:v>
      </x:c>
      <x:c r="E66" t="str"/>
      <x:c r="F66" t="str">
        <x:v>Verificado</x:v>
      </x:c>
      <x:c r="G66" t="str"/>
      <x:c r="H66" s="32"/>
      <x:c r="I66" s="32"/>
      <x:c r="J66" s="32"/>
      <x:c r="K66" t="str">
        <x:v>Captura 8.08.55</x:v>
      </x:c>
      <x:c r="L66" t="str"/>
    </x:row>
    <x:row r="67" ht="18" customHeight="1">
      <x:c r="A67" t="n">
        <x:v>66</x:v>
      </x:c>
      <x:c r="B67" t="str">
        <x:v>Combo Alarma De Moto 46 Raches</x:v>
      </x:c>
      <x:c r="C67" t="str">
        <x:v>Vehículos</x:v>
      </x:c>
      <x:c r="D67" t="str">
        <x:v>Moto / seguridad</x:v>
      </x:c>
      <x:c r="E67" t="str"/>
      <x:c r="F67" t="str">
        <x:v>Verificado</x:v>
      </x:c>
      <x:c r="G67" t="str"/>
      <x:c r="H67" s="32"/>
      <x:c r="I67" s="32"/>
      <x:c r="J67" s="32"/>
      <x:c r="K67" t="str">
        <x:v>Captura 8.08.55</x:v>
      </x:c>
      <x:c r="L67" t="str"/>
    </x:row>
    <x:row r="68" ht="18" customHeight="1">
      <x:c r="A68" t="n">
        <x:v>67</x:v>
      </x:c>
      <x:c r="B68" t="str">
        <x:v>Lonchera Varpora Electrica Portacomida</x:v>
      </x:c>
      <x:c r="C68" t="str">
        <x:v>Tecnología</x:v>
      </x:c>
      <x:c r="D68" t="str">
        <x:v>Electrodoméstico</x:v>
      </x:c>
      <x:c r="E68" t="str"/>
      <x:c r="F68" t="str">
        <x:v>Verificado</x:v>
      </x:c>
      <x:c r="G68" t="str"/>
      <x:c r="H68" s="32"/>
      <x:c r="I68" s="32"/>
      <x:c r="J68" s="32"/>
      <x:c r="K68" t="str">
        <x:v>Captura 8.08.55</x:v>
      </x:c>
      <x:c r="L68" t="str"/>
    </x:row>
    <x:row r="69" ht="18" customHeight="1">
      <x:c r="A69" t="n">
        <x:v>68</x:v>
      </x:c>
      <x:c r="B69" t="str">
        <x:v>Combo Aguacate Sd06 Secador De Pelo</x:v>
      </x:c>
      <x:c r="C69" t="str">
        <x:v>Belleza</x:v>
      </x:c>
      <x:c r="D69" t="str">
        <x:v>Cuidado capilar</x:v>
      </x:c>
      <x:c r="E69" t="str"/>
      <x:c r="F69" t="str">
        <x:v>Verificado</x:v>
      </x:c>
      <x:c r="G69" t="str"/>
      <x:c r="H69" s="32"/>
      <x:c r="I69" s="32"/>
      <x:c r="J69" s="32"/>
      <x:c r="K69" t="str">
        <x:v>Captura 8.08.55</x:v>
      </x:c>
      <x:c r="L69" t="str"/>
    </x:row>
    <x:row r="70" ht="18" customHeight="1">
      <x:c r="A70" t="n">
        <x:v>69</x:v>
      </x:c>
      <x:c r="B70" t="str">
        <x:v>Almohadilla Compresa Termica</x:v>
      </x:c>
      <x:c r="C70" t="str">
        <x:v>Hogar</x:v>
      </x:c>
      <x:c r="D70" t="str">
        <x:v>Terapia térmica</x:v>
      </x:c>
      <x:c r="E70" t="str"/>
      <x:c r="F70" t="str">
        <x:v>Verificado</x:v>
      </x:c>
      <x:c r="G70" t="str"/>
      <x:c r="H70" s="32"/>
      <x:c r="I70" s="32"/>
      <x:c r="J70" s="32"/>
      <x:c r="K70" t="str">
        <x:v>Captura 8.08.55</x:v>
      </x:c>
      <x:c r="L70" t="str"/>
    </x:row>
    <x:row r="71" ht="18" customHeight="1">
      <x:c r="A71" t="n">
        <x:v>70</x:v>
      </x:c>
      <x:c r="B71" t="str">
        <x:v>Combo Zapatero 6 Niv Armario 106 Negro</x:v>
      </x:c>
      <x:c r="C71" t="str">
        <x:v>Hogar</x:v>
      </x:c>
      <x:c r="D71" t="str">
        <x:v>Organización</x:v>
      </x:c>
      <x:c r="E71" t="str"/>
      <x:c r="F71" t="str">
        <x:v>Verificado</x:v>
      </x:c>
      <x:c r="G71" t="str"/>
      <x:c r="H71" s="32"/>
      <x:c r="I71" s="32"/>
      <x:c r="J71" s="32"/>
      <x:c r="K71" t="str">
        <x:v>Captura 8.08.55</x:v>
      </x:c>
      <x:c r="L71" t="str"/>
    </x:row>
    <x:row r="72" ht="18" customHeight="1">
      <x:c r="A72" t="n">
        <x:v>71</x:v>
      </x:c>
      <x:c r="B72" t="str">
        <x:v>Juego Set Cuchillos 6pc</x:v>
      </x:c>
      <x:c r="C72" t="str">
        <x:v>Cocina</x:v>
      </x:c>
      <x:c r="D72" t="str">
        <x:v>Cuchillos</x:v>
      </x:c>
      <x:c r="E72" t="str"/>
      <x:c r="F72" t="str">
        <x:v>Verificado</x:v>
      </x:c>
      <x:c r="G72" t="str"/>
      <x:c r="H72" s="32"/>
      <x:c r="I72" s="32"/>
      <x:c r="J72" s="32"/>
      <x:c r="K72" t="str">
        <x:v>Captura 8.08.55</x:v>
      </x:c>
      <x:c r="L72" t="str"/>
    </x:row>
    <x:row r="73" ht="18" customHeight="1">
      <x:c r="A73" t="n">
        <x:v>72</x:v>
      </x:c>
      <x:c r="B73" t="str">
        <x:v>Bolsas De Empaque Al Vacio X5 Bomba</x:v>
      </x:c>
      <x:c r="C73" t="str">
        <x:v>Hogar</x:v>
      </x:c>
      <x:c r="D73" t="str">
        <x:v>Almacenamiento</x:v>
      </x:c>
      <x:c r="E73" t="str"/>
      <x:c r="F73" t="str">
        <x:v>Verificado</x:v>
      </x:c>
      <x:c r="G73" t="str"/>
      <x:c r="H73" s="32"/>
      <x:c r="I73" s="32"/>
      <x:c r="J73" s="32"/>
      <x:c r="K73" t="str">
        <x:v>Captura 8.08.55</x:v>
      </x:c>
      <x:c r="L73" t="str"/>
    </x:row>
    <x:row r="74" ht="18" customHeight="1">
      <x:c r="A74" t="n">
        <x:v>73</x:v>
      </x:c>
      <x:c r="B74" t="str">
        <x:v>Gimnasia Pasiva 5 En 1</x:v>
      </x:c>
      <x:c r="C74" t="str">
        <x:v>Deportes</x:v>
      </x:c>
      <x:c r="D74" t="str">
        <x:v>Gimnasia pasiva</x:v>
      </x:c>
      <x:c r="E74" t="str"/>
      <x:c r="F74" t="str">
        <x:v>Verificado</x:v>
      </x:c>
      <x:c r="G74" t="str"/>
      <x:c r="H74" s="32"/>
      <x:c r="I74" s="32"/>
      <x:c r="J74" s="32"/>
      <x:c r="K74" t="str">
        <x:v>Captura 8.08.55</x:v>
      </x:c>
      <x:c r="L74" t="str"/>
    </x:row>
    <x:row r="75" ht="18" customHeight="1">
      <x:c r="A75" t="n">
        <x:v>74</x:v>
      </x:c>
      <x:c r="B75" t="str">
        <x:v>Maquina Electrica Olla Fundidora</x:v>
      </x:c>
      <x:c r="C75" t="str">
        <x:v>Cocina</x:v>
      </x:c>
      <x:c r="D75" t="str">
        <x:v>Fundidora</x:v>
      </x:c>
      <x:c r="E75" t="str"/>
      <x:c r="F75" t="str">
        <x:v>Verificado</x:v>
      </x:c>
      <x:c r="G75" t="str"/>
      <x:c r="H75" s="32"/>
      <x:c r="I75" s="32"/>
      <x:c r="J75" s="32"/>
      <x:c r="K75" t="str">
        <x:v>Captura 8.08.55</x:v>
      </x:c>
      <x:c r="L75" t="str"/>
    </x:row>
    <x:row r="76" ht="18" customHeight="1">
      <x:c r="A76" t="n">
        <x:v>75</x:v>
      </x:c>
      <x:c r="B76" t="str">
        <x:v>Codera De Ajuste</x:v>
      </x:c>
      <x:c r="C76" t="str">
        <x:v>Bienestar</x:v>
      </x:c>
      <x:c r="D76" t="str">
        <x:v>Soporte articular</x:v>
      </x:c>
      <x:c r="E76" t="str"/>
      <x:c r="F76" t="str">
        <x:v>Verificado</x:v>
      </x:c>
      <x:c r="G76" t="str"/>
      <x:c r="H76" s="32"/>
      <x:c r="I76" s="32"/>
      <x:c r="J76" s="32"/>
      <x:c r="K76" t="str">
        <x:v>Captura 8.08.55</x:v>
      </x:c>
      <x:c r="L76" t="str"/>
    </x:row>
    <x:row r="77" ht="18" customHeight="1">
      <x:c r="A77" t="n">
        <x:v>76</x:v>
      </x:c>
      <x:c r="B77" t="str">
        <x:v>Tapete De Baño Absorbente</x:v>
      </x:c>
      <x:c r="C77" t="str">
        <x:v>Hogar</x:v>
      </x:c>
      <x:c r="D77" t="str">
        <x:v>Baño</x:v>
      </x:c>
      <x:c r="E77" t="str"/>
      <x:c r="F77" t="str">
        <x:v>Verificado</x:v>
      </x:c>
      <x:c r="G77" t="str"/>
      <x:c r="H77" s="32"/>
      <x:c r="I77" s="32"/>
      <x:c r="J77" s="32"/>
      <x:c r="K77" t="str">
        <x:v>Captura 8.08.55</x:v>
      </x:c>
      <x:c r="L77" t="str"/>
    </x:row>
    <x:row r="78" ht="18" customHeight="1">
      <x:c r="A78" t="n">
        <x:v>77</x:v>
      </x:c>
      <x:c r="B78" t="str">
        <x:v>2 Radios Walkie Talkie Baofeng Audif. In</x:v>
      </x:c>
      <x:c r="C78" t="str">
        <x:v>Tecnología</x:v>
      </x:c>
      <x:c r="D78" t="str">
        <x:v>Comunicación</x:v>
      </x:c>
      <x:c r="E78" t="str"/>
      <x:c r="F78" t="str">
        <x:v>Verificado</x:v>
      </x:c>
      <x:c r="G78" t="str"/>
      <x:c r="H78" s="32"/>
      <x:c r="I78" s="32"/>
      <x:c r="J78" s="32"/>
      <x:c r="K78" t="str">
        <x:v>Captura 8.08.55</x:v>
      </x:c>
      <x:c r="L78" t="str"/>
    </x:row>
    <x:row r="79" ht="18" customHeight="1">
      <x:c r="A79" t="n">
        <x:v>78</x:v>
      </x:c>
      <x:c r="B79" t="str">
        <x:v>100 Luces Navidad Panel Solar</x:v>
      </x:c>
      <x:c r="C79" t="str">
        <x:v>Tecnología</x:v>
      </x:c>
      <x:c r="D79" t="str">
        <x:v>Iluminación</x:v>
      </x:c>
      <x:c r="E79" t="str"/>
      <x:c r="F79" t="str">
        <x:v>Verificado</x:v>
      </x:c>
      <x:c r="G79" t="str"/>
      <x:c r="H79" s="32"/>
      <x:c r="I79" s="32"/>
      <x:c r="J79" s="32"/>
      <x:c r="K79" t="str">
        <x:v>Captura 8.08.55</x:v>
      </x:c>
      <x:c r="L79" t="str"/>
    </x:row>
    <x:row r="80" ht="18" customHeight="1">
      <x:c r="A80" t="n">
        <x:v>79</x:v>
      </x:c>
      <x:c r="B80" t="str">
        <x:v>Aspiradora De Mascotas Shed Pal</x:v>
      </x:c>
      <x:c r="C80" t="str">
        <x:v>Mascotas</x:v>
      </x:c>
      <x:c r="D80" t="str">
        <x:v>Cuidado mascotas</x:v>
      </x:c>
      <x:c r="E80" t="str"/>
      <x:c r="F80" t="str">
        <x:v>Verificado</x:v>
      </x:c>
      <x:c r="G80" t="str"/>
      <x:c r="H80" s="32"/>
      <x:c r="I80" s="32"/>
      <x:c r="J80" s="32"/>
      <x:c r="K80" t="str">
        <x:v>Captura 8.08.55</x:v>
      </x:c>
      <x:c r="L80" t="str"/>
    </x:row>
    <x:row r="81" ht="18" customHeight="1">
      <x:c r="A81" t="n">
        <x:v>80</x:v>
      </x:c>
      <x:c r="B81" t="str">
        <x:v>Combo Plancha Y Cepillo Keratina Pinza</x:v>
      </x:c>
      <x:c r="C81" t="str">
        <x:v>Belleza</x:v>
      </x:c>
      <x:c r="D81" t="str">
        <x:v>Cuidado capilar</x:v>
      </x:c>
      <x:c r="E81" t="str"/>
      <x:c r="F81" t="str">
        <x:v>Verificado</x:v>
      </x:c>
      <x:c r="G81" t="str"/>
      <x:c r="H81" s="32"/>
      <x:c r="I81" s="32"/>
      <x:c r="J81" s="32"/>
      <x:c r="K81" t="str">
        <x:v>Captura 8.08.55</x:v>
      </x:c>
      <x:c r="L81" t="str"/>
    </x:row>
    <x:row r="82" ht="18" customHeight="1">
      <x:c r="A82" t="n">
        <x:v>81</x:v>
      </x:c>
      <x:c r="B82" t="str">
        <x:v>Tabla Push Up Soporte Flexiones De Pecho</x:v>
      </x:c>
      <x:c r="C82" t="str">
        <x:v>Deportes</x:v>
      </x:c>
      <x:c r="D82" t="str">
        <x:v>Ejercicio</x:v>
      </x:c>
      <x:c r="E82" t="str"/>
      <x:c r="F82" t="str">
        <x:v>Verificado</x:v>
      </x:c>
      <x:c r="G82" t="str"/>
      <x:c r="H82" s="32"/>
      <x:c r="I82" s="32"/>
      <x:c r="J82" s="32"/>
      <x:c r="K82" t="str">
        <x:v>Captura 8.08.55</x:v>
      </x:c>
      <x:c r="L82" t="str"/>
    </x:row>
    <x:row r="83" ht="18" customHeight="1">
      <x:c r="A83" t="n">
        <x:v>82</x:v>
      </x:c>
      <x:c r="B83" t="str">
        <x:v>Ducha Regadera Portatil Recargable</x:v>
      </x:c>
      <x:c r="C83" t="str">
        <x:v>Cocina</x:v>
      </x:c>
      <x:c r="D83" t="str">
        <x:v>Accesorio agua</x:v>
      </x:c>
      <x:c r="E83" t="str"/>
      <x:c r="F83" t="str">
        <x:v>Verificado</x:v>
      </x:c>
      <x:c r="G83" t="str"/>
      <x:c r="H83" s="32"/>
      <x:c r="I83" s="32"/>
      <x:c r="J83" s="32"/>
      <x:c r="K83" t="str">
        <x:v>Captura 8.08.55</x:v>
      </x:c>
      <x:c r="L83" t="str"/>
    </x:row>
    <x:row r="84" ht="18" customHeight="1">
      <x:c r="A84" t="n">
        <x:v>83</x:v>
      </x:c>
      <x:c r="B84" t="str">
        <x:v>Cepillo One Step Plancha Remington 2086</x:v>
      </x:c>
      <x:c r="C84" t="str">
        <x:v>Belleza</x:v>
      </x:c>
      <x:c r="D84" t="str">
        <x:v>Cuidado capilar</x:v>
      </x:c>
      <x:c r="E84" t="str"/>
      <x:c r="F84" t="str">
        <x:v>Verificado</x:v>
      </x:c>
      <x:c r="G84" t="str"/>
      <x:c r="H84" s="32"/>
      <x:c r="I84" s="32"/>
      <x:c r="J84" s="32"/>
      <x:c r="K84" t="str">
        <x:v>Captura 8.08.55</x:v>
      </x:c>
      <x:c r="L84" t="str"/>
    </x:row>
    <x:row r="85" ht="18" customHeight="1">
      <x:c r="A85" t="n">
        <x:v>84</x:v>
      </x:c>
      <x:c r="B85" t="str">
        <x:v>Mini Camara Espia Vigilancia Ip A9 Wifi</x:v>
      </x:c>
      <x:c r="C85" t="str">
        <x:v>Tecnología</x:v>
      </x:c>
      <x:c r="D85" t="str">
        <x:v>Seguridad</x:v>
      </x:c>
      <x:c r="E85" t="str"/>
      <x:c r="F85" t="str">
        <x:v>Verificado</x:v>
      </x:c>
      <x:c r="G85" t="str"/>
      <x:c r="H85" s="32"/>
      <x:c r="I85" s="32"/>
      <x:c r="J85" s="32"/>
      <x:c r="K85" t="str">
        <x:v>Captura 8.08.55</x:v>
      </x:c>
      <x:c r="L85" t="str"/>
    </x:row>
    <x:row r="86" ht="18" customHeight="1">
      <x:c r="A86" t="n">
        <x:v>85</x:v>
      </x:c>
      <x:c r="B86" t="str">
        <x:v>Silla Escalera Plegable Para Niño Orinal</x:v>
      </x:c>
      <x:c r="C86" t="str">
        <x:v>Bebé</x:v>
      </x:c>
      <x:c r="D86" t="str">
        <x:v>Orinal / escalera</x:v>
      </x:c>
      <x:c r="E86" t="str"/>
      <x:c r="F86" t="str">
        <x:v>Verificado</x:v>
      </x:c>
      <x:c r="G86" t="str"/>
      <x:c r="H86" s="32"/>
      <x:c r="I86" s="32"/>
      <x:c r="J86" s="32"/>
      <x:c r="K86" t="str">
        <x:v>Captura 8.08.55</x:v>
      </x:c>
      <x:c r="L86" t="str"/>
    </x:row>
    <x:row r="87" ht="18" customHeight="1">
      <x:c r="A87" t="n">
        <x:v>86</x:v>
      </x:c>
      <x:c r="B87" t="str">
        <x:v>Maquina Hacer Pasta Manual Rollera</x:v>
      </x:c>
      <x:c r="C87" t="str">
        <x:v>Cocina</x:v>
      </x:c>
      <x:c r="D87" t="str">
        <x:v>Pasta</x:v>
      </x:c>
      <x:c r="E87" t="str"/>
      <x:c r="F87" t="str">
        <x:v>Verificado</x:v>
      </x:c>
      <x:c r="G87" t="str"/>
      <x:c r="H87" s="32"/>
      <x:c r="I87" s="32"/>
      <x:c r="J87" s="32"/>
      <x:c r="K87" t="str">
        <x:v>Captura 8.08.55</x:v>
      </x:c>
      <x:c r="L87" t="str"/>
    </x:row>
    <x:row r="88" ht="18" customHeight="1">
      <x:c r="A88" t="n">
        <x:v>87</x:v>
      </x:c>
      <x:c r="B88" t="str">
        <x:v>Set De Cuchillos X13 Piezas Miracle</x:v>
      </x:c>
      <x:c r="C88" t="str">
        <x:v>Cocina</x:v>
      </x:c>
      <x:c r="D88" t="str">
        <x:v>Cuchillos</x:v>
      </x:c>
      <x:c r="E88" t="str"/>
      <x:c r="F88" t="str">
        <x:v>Verificado</x:v>
      </x:c>
      <x:c r="G88" t="str"/>
      <x:c r="H88" s="32"/>
      <x:c r="I88" s="32"/>
      <x:c r="J88" s="32"/>
      <x:c r="K88" t="str">
        <x:v>Captura 8.08.55</x:v>
      </x:c>
      <x:c r="L88" t="str"/>
    </x:row>
    <x:row r="89" ht="18" customHeight="1">
      <x:c r="A89" t="n">
        <x:v>88</x:v>
      </x:c>
      <x:c r="B89" t="str">
        <x:v>Radio Alarma Parlante 43bt Moto</x:v>
      </x:c>
      <x:c r="C89" t="str">
        <x:v>Tecnología</x:v>
      </x:c>
      <x:c r="D89" t="str">
        <x:v>Audio / moto</x:v>
      </x:c>
      <x:c r="E89" t="str"/>
      <x:c r="F89" t="str">
        <x:v>Verificado</x:v>
      </x:c>
      <x:c r="G89" t="str"/>
      <x:c r="H89" s="32"/>
      <x:c r="I89" s="32"/>
      <x:c r="J89" s="32"/>
      <x:c r="K89" t="str">
        <x:v>Captura 8.08.55</x:v>
      </x:c>
      <x:c r="L89" t="str"/>
    </x:row>
    <x:row r="90" ht="18" customHeight="1">
      <x:c r="A90" t="n">
        <x:v>89</x:v>
      </x:c>
      <x:c r="B90" t="str">
        <x:v>Picadora Procesador Sokany Electrico</x:v>
      </x:c>
      <x:c r="C90" t="str">
        <x:v>Cocina</x:v>
      </x:c>
      <x:c r="D90" t="str">
        <x:v>Procesador</x:v>
      </x:c>
      <x:c r="E90" t="str"/>
      <x:c r="F90" t="str">
        <x:v>Verificado</x:v>
      </x:c>
      <x:c r="G90" t="str"/>
      <x:c r="H90" s="32"/>
      <x:c r="I90" s="32"/>
      <x:c r="J90" s="32"/>
      <x:c r="K90" t="str">
        <x:v>Captura 8.08.55</x:v>
      </x:c>
      <x:c r="L90" t="str"/>
    </x:row>
    <x:row r="91" ht="18" customHeight="1">
      <x:c r="A91" t="n">
        <x:v>90</x:v>
      </x:c>
      <x:c r="B91" t="str">
        <x:v>Pistola Automatica Luz Uv</x:v>
      </x:c>
      <x:c r="C91" t="str">
        <x:v>Herramientas</x:v>
      </x:c>
      <x:c r="D91" t="str">
        <x:v>Herramienta</x:v>
      </x:c>
      <x:c r="E91" t="str"/>
      <x:c r="F91" t="str">
        <x:v>Verificado</x:v>
      </x:c>
      <x:c r="G91" t="str"/>
      <x:c r="H91" s="32"/>
      <x:c r="I91" s="32"/>
      <x:c r="J91" s="32"/>
      <x:c r="K91" t="str">
        <x:v>Captura 8.08.55</x:v>
      </x:c>
      <x:c r="L91" t="str"/>
    </x:row>
    <x:row r="92" ht="18" customHeight="1">
      <x:c r="A92" t="n">
        <x:v>91</x:v>
      </x:c>
      <x:c r="B92" t="str">
        <x:v>Molino Manual De Carne De Prensa</x:v>
      </x:c>
      <x:c r="C92" t="str">
        <x:v>Cocina</x:v>
      </x:c>
      <x:c r="D92" t="str">
        <x:v>Molino carne</x:v>
      </x:c>
      <x:c r="E92" t="str"/>
      <x:c r="F92" t="str">
        <x:v>Verificado</x:v>
      </x:c>
      <x:c r="G92" t="str"/>
      <x:c r="H92" s="32"/>
      <x:c r="I92" s="32"/>
      <x:c r="J92" s="32"/>
      <x:c r="K92" t="str">
        <x:v>Captura 8.08.40</x:v>
      </x:c>
      <x:c r="L92" t="str"/>
    </x:row>
    <x:row r="93" ht="18" customHeight="1">
      <x:c r="A93" t="n">
        <x:v>92</x:v>
      </x:c>
      <x:c r="B93" t="str">
        <x:v>Masajeador De Ventosa Dinamicas 5 En 1</x:v>
      </x:c>
      <x:c r="C93" t="str">
        <x:v>Tecnología</x:v>
      </x:c>
      <x:c r="D93" t="str">
        <x:v>Masajeador</x:v>
      </x:c>
      <x:c r="E93" t="str"/>
      <x:c r="F93" t="str">
        <x:v>Verificado</x:v>
      </x:c>
      <x:c r="G93" t="str"/>
      <x:c r="H93" s="32"/>
      <x:c r="I93" s="32"/>
      <x:c r="J93" s="32"/>
      <x:c r="K93" t="str">
        <x:v>Captura 8.08.40</x:v>
      </x:c>
      <x:c r="L93" t="str"/>
    </x:row>
    <x:row r="94" ht="18" customHeight="1">
      <x:c r="A94" t="n">
        <x:v>93</x:v>
      </x:c>
      <x:c r="B94" t="str">
        <x:v>Limpiador A Vapor Presurizado Alta Temp</x:v>
      </x:c>
      <x:c r="C94" t="str">
        <x:v>Hogar</x:v>
      </x:c>
      <x:c r="D94" t="str">
        <x:v>Limpieza</x:v>
      </x:c>
      <x:c r="E94" t="str"/>
      <x:c r="F94" t="str">
        <x:v>Verificado</x:v>
      </x:c>
      <x:c r="G94" t="str"/>
      <x:c r="H94" s="32"/>
      <x:c r="I94" s="32"/>
      <x:c r="J94" s="32"/>
      <x:c r="K94" t="str">
        <x:v>Captura 8.08.40</x:v>
      </x:c>
      <x:c r="L94" t="str"/>
    </x:row>
    <x:row r="95" ht="18" customHeight="1">
      <x:c r="A95" t="n">
        <x:v>94</x:v>
      </x:c>
      <x:c r="B95" t="str">
        <x:v>Combo Aguacate Sd06 Secador Pelorizado</x:v>
      </x:c>
      <x:c r="C95" t="str">
        <x:v>Belleza</x:v>
      </x:c>
      <x:c r="D95" t="str">
        <x:v>Cuidado capilar</x:v>
      </x:c>
      <x:c r="E95" t="str"/>
      <x:c r="F95" t="str">
        <x:v>Verificado</x:v>
      </x:c>
      <x:c r="G95" t="str"/>
      <x:c r="H95" s="32"/>
      <x:c r="I95" s="32"/>
      <x:c r="J95" s="32"/>
      <x:c r="K95" t="str">
        <x:v>Captura 8.08.40</x:v>
      </x:c>
      <x:c r="L95" t="str"/>
    </x:row>
    <x:row r="96" ht="18" customHeight="1">
      <x:c r="A96" t="n">
        <x:v>95</x:v>
      </x:c>
      <x:c r="B96" t="str">
        <x:v>Zapatero Perchero De Tela</x:v>
      </x:c>
      <x:c r="C96" t="str">
        <x:v>Hogar</x:v>
      </x:c>
      <x:c r="D96" t="str">
        <x:v>Organización</x:v>
      </x:c>
      <x:c r="E96" t="str"/>
      <x:c r="F96" t="str">
        <x:v>Verificado</x:v>
      </x:c>
      <x:c r="G96" t="str"/>
      <x:c r="H96" s="32"/>
      <x:c r="I96" s="32"/>
      <x:c r="J96" s="32"/>
      <x:c r="K96" t="str">
        <x:v>Captura 8.08.40</x:v>
      </x:c>
      <x:c r="L96" t="str"/>
    </x:row>
    <x:row r="97" ht="18" customHeight="1">
      <x:c r="A97" t="n">
        <x:v>96</x:v>
      </x:c>
      <x:c r="B97" t="str">
        <x:v>Horno Electrico Tostador</x:v>
      </x:c>
      <x:c r="C97" t="str">
        <x:v>Tecnología</x:v>
      </x:c>
      <x:c r="D97" t="str">
        <x:v>Electrodoméstico</x:v>
      </x:c>
      <x:c r="E97" t="str"/>
      <x:c r="F97" t="str">
        <x:v>Verificado</x:v>
      </x:c>
      <x:c r="G97" t="str"/>
      <x:c r="H97" s="32"/>
      <x:c r="I97" s="32"/>
      <x:c r="J97" s="32"/>
      <x:c r="K97" t="str">
        <x:v>Captura 8.08.40</x:v>
      </x:c>
      <x:c r="L97" t="str"/>
    </x:row>
    <x:row r="98" ht="18" customHeight="1">
      <x:c r="A98" t="n">
        <x:v>97</x:v>
      </x:c>
      <x:c r="B98" t="str">
        <x:v>Juego De Alicates Universales</x:v>
      </x:c>
      <x:c r="C98" t="str">
        <x:v>Herramientas</x:v>
      </x:c>
      <x:c r="D98" t="str">
        <x:v>Alicates</x:v>
      </x:c>
      <x:c r="E98" t="str"/>
      <x:c r="F98" t="str">
        <x:v>Verificado</x:v>
      </x:c>
      <x:c r="G98" t="str"/>
      <x:c r="H98" s="32"/>
      <x:c r="I98" s="32"/>
      <x:c r="J98" s="32"/>
      <x:c r="K98" t="str">
        <x:v>Captura 8.08.40</x:v>
      </x:c>
      <x:c r="L98" t="str"/>
    </x:row>
    <x:row r="99" ht="18" customHeight="1">
      <x:c r="A99" t="n">
        <x:v>98</x:v>
      </x:c>
      <x:c r="B99" t="str">
        <x:v>Rodillera Termica Electrica Terapia</x:v>
      </x:c>
      <x:c r="C99" t="str">
        <x:v>Bienestar</x:v>
      </x:c>
      <x:c r="D99" t="str">
        <x:v>Terapia térmica</x:v>
      </x:c>
      <x:c r="E99" t="str"/>
      <x:c r="F99" t="str">
        <x:v>Verificado</x:v>
      </x:c>
      <x:c r="G99" t="str"/>
      <x:c r="H99" s="32"/>
      <x:c r="I99" s="32"/>
      <x:c r="J99" s="32"/>
      <x:c r="K99" t="str">
        <x:v>Captura 8.08.40</x:v>
      </x:c>
      <x:c r="L99" t="str"/>
    </x:row>
    <x:row r="100" ht="18" customHeight="1">
      <x:c r="A100" t="n">
        <x:v>99</x:v>
      </x:c>
      <x:c r="B100" t="str">
        <x:v>Tapete Masajeador Electrico Estimulador</x:v>
      </x:c>
      <x:c r="C100" t="str">
        <x:v>Bienestar</x:v>
      </x:c>
      <x:c r="D100" t="str">
        <x:v>Masaje / estimulación</x:v>
      </x:c>
      <x:c r="E100" t="str"/>
      <x:c r="F100" t="str">
        <x:v>Verificado</x:v>
      </x:c>
      <x:c r="G100" t="str"/>
      <x:c r="H100" s="32"/>
      <x:c r="I100" s="32"/>
      <x:c r="J100" s="32"/>
      <x:c r="K100" t="str">
        <x:v>Captura 8.08.40</x:v>
      </x:c>
      <x:c r="L100" t="str"/>
    </x:row>
    <x:row r="101" ht="18" customHeight="1">
      <x:c r="A101" t="n">
        <x:v>100</x:v>
      </x:c>
      <x:c r="B101" t="str">
        <x:v>Mini Masajeador Pulpo Portatil</x:v>
      </x:c>
      <x:c r="C101" t="str">
        <x:v>Tecnología</x:v>
      </x:c>
      <x:c r="D101" t="str">
        <x:v>Masajeador</x:v>
      </x:c>
      <x:c r="E101" t="str"/>
      <x:c r="F101" t="str">
        <x:v>Verificado</x:v>
      </x:c>
      <x:c r="G101" t="str"/>
      <x:c r="H101" s="32"/>
      <x:c r="I101" s="32"/>
      <x:c r="J101" s="32"/>
      <x:c r="K101" t="str">
        <x:v>Captura 8.08.40</x:v>
      </x:c>
      <x:c r="L101" t="str"/>
    </x:row>
    <x:row r="102" ht="18" customHeight="1">
      <x:c r="A102" t="n">
        <x:v>101</x:v>
      </x:c>
      <x:c r="B102" t="str">
        <x:v>Lampara Solar Exteriores Control Rmto</x:v>
      </x:c>
      <x:c r="C102" t="str">
        <x:v>Tecnología</x:v>
      </x:c>
      <x:c r="D102" t="str">
        <x:v>Iluminación solar</x:v>
      </x:c>
      <x:c r="E102" t="str"/>
      <x:c r="F102" t="str">
        <x:v>Verificado</x:v>
      </x:c>
      <x:c r="G102" t="str"/>
      <x:c r="H102" s="32"/>
      <x:c r="I102" s="32"/>
      <x:c r="J102" s="32"/>
      <x:c r="K102" t="str">
        <x:v>Captura 8.08.40</x:v>
      </x:c>
      <x:c r="L102" t="str"/>
    </x:row>
    <x:row r="103" ht="18" customHeight="1">
      <x:c r="A103" t="n">
        <x:v>102</x:v>
      </x:c>
      <x:c r="B103" t="str">
        <x:v>Organizador Esquinero Hasta 2.60mts</x:v>
      </x:c>
      <x:c r="C103" t="str">
        <x:v>Hogar</x:v>
      </x:c>
      <x:c r="D103" t="str">
        <x:v>Organización</x:v>
      </x:c>
      <x:c r="E103" t="str"/>
      <x:c r="F103" t="str">
        <x:v>Verificado</x:v>
      </x:c>
      <x:c r="G103" t="str"/>
      <x:c r="H103" s="32"/>
      <x:c r="I103" s="32"/>
      <x:c r="J103" s="32"/>
      <x:c r="K103" t="str">
        <x:v>Captura 8.08.40</x:v>
      </x:c>
      <x:c r="L103" t="str"/>
    </x:row>
    <x:row r="104" ht="18" customHeight="1">
      <x:c r="A104" t="n">
        <x:v>103</x:v>
      </x:c>
      <x:c r="B104" t="str">
        <x:v>Kit De Aerografo Inalambrico Compresor</x:v>
      </x:c>
      <x:c r="C104" t="str">
        <x:v>Tecnología</x:v>
      </x:c>
      <x:c r="D104" t="str">
        <x:v>Aerógrafo</x:v>
      </x:c>
      <x:c r="E104" t="str"/>
      <x:c r="F104" t="str">
        <x:v>Verificado</x:v>
      </x:c>
      <x:c r="G104" t="str"/>
      <x:c r="H104" s="32"/>
      <x:c r="I104" s="32"/>
      <x:c r="J104" s="32"/>
      <x:c r="K104" t="str">
        <x:v>Captura 8.08.40</x:v>
      </x:c>
      <x:c r="L104" t="str"/>
    </x:row>
    <x:row r="105" ht="18" customHeight="1">
      <x:c r="A105" t="n">
        <x:v>104</x:v>
      </x:c>
      <x:c r="B105" t="str">
        <x:v>Armario 106 Negro Zapatero De Tela Negro</x:v>
      </x:c>
      <x:c r="C105" t="str">
        <x:v>Hogar</x:v>
      </x:c>
      <x:c r="D105" t="str">
        <x:v>Organización</x:v>
      </x:c>
      <x:c r="E105" t="str"/>
      <x:c r="F105" t="str">
        <x:v>Verificado</x:v>
      </x:c>
      <x:c r="G105" t="str"/>
      <x:c r="H105" s="32"/>
      <x:c r="I105" s="32"/>
      <x:c r="J105" s="32"/>
      <x:c r="K105" t="str">
        <x:v>Captura 8.08.40</x:v>
      </x:c>
      <x:c r="L105" t="str"/>
    </x:row>
    <x:row r="106" ht="18" customHeight="1">
      <x:c r="A106" t="n">
        <x:v>105</x:v>
      </x:c>
      <x:c r="B106" t="str">
        <x:v>Rueda Automatica Bandas Tabla Push Up</x:v>
      </x:c>
      <x:c r="C106" t="str">
        <x:v>Deportes</x:v>
      </x:c>
      <x:c r="D106" t="str">
        <x:v>Ejercicio</x:v>
      </x:c>
      <x:c r="E106" t="str"/>
      <x:c r="F106" t="str">
        <x:v>Verificado</x:v>
      </x:c>
      <x:c r="G106" t="str"/>
      <x:c r="H106" s="32"/>
      <x:c r="I106" s="32"/>
      <x:c r="J106" s="32"/>
      <x:c r="K106" t="str">
        <x:v>Captura 8.08.40</x:v>
      </x:c>
      <x:c r="L106" t="str"/>
    </x:row>
    <x:row r="107" ht="18" customHeight="1">
      <x:c r="A107" t="n">
        <x:v>106</x:v>
      </x:c>
      <x:c r="B107" t="str">
        <x:v>Camara De Vigilancia Domo</x:v>
      </x:c>
      <x:c r="C107" t="str">
        <x:v>Tecnología</x:v>
      </x:c>
      <x:c r="D107" t="str">
        <x:v>Seguridad</x:v>
      </x:c>
      <x:c r="E107" t="str"/>
      <x:c r="F107" t="str">
        <x:v>Verificado</x:v>
      </x:c>
      <x:c r="G107" t="str"/>
      <x:c r="H107" s="32"/>
      <x:c r="I107" s="32"/>
      <x:c r="J107" s="32"/>
      <x:c r="K107" t="str">
        <x:v>Captura 8.08.40</x:v>
      </x:c>
      <x:c r="L107" t="str"/>
    </x:row>
    <x:row r="108" ht="18" customHeight="1">
      <x:c r="A108" t="n">
        <x:v>107</x:v>
      </x:c>
      <x:c r="B108" t="str">
        <x:v>Extractor Exprimidor Naranjas Jugo Fruta</x:v>
      </x:c>
      <x:c r="C108" t="str">
        <x:v>Hogar</x:v>
      </x:c>
      <x:c r="D108" t="str">
        <x:v>Cocina / extractor</x:v>
      </x:c>
      <x:c r="E108" t="str"/>
      <x:c r="F108" t="str">
        <x:v>Verificado</x:v>
      </x:c>
      <x:c r="G108" t="str"/>
      <x:c r="H108" s="32"/>
      <x:c r="I108" s="32"/>
      <x:c r="J108" s="32"/>
      <x:c r="K108" t="str">
        <x:v>Captura 8.08.40</x:v>
      </x:c>
      <x:c r="L108" t="str"/>
    </x:row>
    <x:row r="109" ht="18" customHeight="1">
      <x:c r="A109" t="n">
        <x:v>108</x:v>
      </x:c>
      <x:c r="B109" t="str">
        <x:v>Cortador De Papas Potato Chipper</x:v>
      </x:c>
      <x:c r="C109" t="str">
        <x:v>Cocina</x:v>
      </x:c>
      <x:c r="D109" t="str">
        <x:v>Cortador</x:v>
      </x:c>
      <x:c r="E109" t="str"/>
      <x:c r="F109" t="str">
        <x:v>Verificado</x:v>
      </x:c>
      <x:c r="G109" t="str"/>
      <x:c r="H109" s="32"/>
      <x:c r="I109" s="32"/>
      <x:c r="J109" s="32"/>
      <x:c r="K109" t="str">
        <x:v>Captura 8.08.40</x:v>
      </x:c>
      <x:c r="L109" t="str"/>
    </x:row>
    <x:row r="110" ht="18" customHeight="1">
      <x:c r="A110" t="n">
        <x:v>109</x:v>
      </x:c>
      <x:c r="B110" t="str">
        <x:v>Porta Rollos Dispensador Cocina</x:v>
      </x:c>
      <x:c r="C110" t="str">
        <x:v>Cocina</x:v>
      </x:c>
      <x:c r="D110" t="str">
        <x:v>Organización</x:v>
      </x:c>
      <x:c r="E110" t="str"/>
      <x:c r="F110" t="str">
        <x:v>Verificado</x:v>
      </x:c>
      <x:c r="G110" t="str"/>
      <x:c r="H110" s="32"/>
      <x:c r="I110" s="32"/>
      <x:c r="J110" s="32"/>
      <x:c r="K110" t="str">
        <x:v>Captura 8.08.40</x:v>
      </x:c>
      <x:c r="L110" t="str"/>
    </x:row>
    <x:row r="111" ht="18" customHeight="1">
      <x:c r="A111" t="n">
        <x:v>110</x:v>
      </x:c>
      <x:c r="B111" t="str">
        <x:v>Lampara Led De Bola De Cristal</x:v>
      </x:c>
      <x:c r="C111" t="str">
        <x:v>Tecnología</x:v>
      </x:c>
      <x:c r="D111" t="str">
        <x:v>Iluminación</x:v>
      </x:c>
      <x:c r="E111" t="str"/>
      <x:c r="F111" t="str">
        <x:v>Verificado</x:v>
      </x:c>
      <x:c r="G111" t="str"/>
      <x:c r="H111" s="32"/>
      <x:c r="I111" s="32"/>
      <x:c r="J111" s="32"/>
      <x:c r="K111" t="str">
        <x:v>Captura 8.08.40</x:v>
      </x:c>
      <x:c r="L111" t="str"/>
    </x:row>
    <x:row r="112" ht="18" customHeight="1">
      <x:c r="A112" t="n">
        <x:v>111</x:v>
      </x:c>
      <x:c r="B112" t="str">
        <x:v>Encendedor Electrico Recargable De Arco</x:v>
      </x:c>
      <x:c r="C112" t="str">
        <x:v>Herramientas</x:v>
      </x:c>
      <x:c r="D112" t="str">
        <x:v>Encendedor</x:v>
      </x:c>
      <x:c r="E112" t="str"/>
      <x:c r="F112" t="str">
        <x:v>Verificado</x:v>
      </x:c>
      <x:c r="G112" t="str"/>
      <x:c r="H112" s="32"/>
      <x:c r="I112" s="32"/>
      <x:c r="J112" s="32"/>
      <x:c r="K112" t="str">
        <x:v>Captura 8.08.40</x:v>
      </x:c>
      <x:c r="L112" t="str"/>
    </x:row>
    <x:row r="113" ht="18" customHeight="1">
      <x:c r="A113" t="n">
        <x:v>112</x:v>
      </x:c>
      <x:c r="B113" t="str">
        <x:v>Bombillo Bluetooth Parlante 12w Luces</x:v>
      </x:c>
      <x:c r="C113" t="str">
        <x:v>Tecnología</x:v>
      </x:c>
      <x:c r="D113" t="str">
        <x:v>Audio / iluminación</x:v>
      </x:c>
      <x:c r="E113" t="str"/>
      <x:c r="F113" t="str">
        <x:v>Verificado</x:v>
      </x:c>
      <x:c r="G113" t="str"/>
      <x:c r="H113" s="32"/>
      <x:c r="I113" s="32"/>
      <x:c r="J113" s="32"/>
      <x:c r="K113" t="str">
        <x:v>Captura 8.08.40</x:v>
      </x:c>
      <x:c r="L113" t="str"/>
    </x:row>
    <x:row r="114" ht="18" customHeight="1">
      <x:c r="A114" t="n">
        <x:v>113</x:v>
      </x:c>
      <x:c r="B114" t="str">
        <x:v>Combo Barbera Mini Molino De Cafe</x:v>
      </x:c>
      <x:c r="C114" t="str">
        <x:v>Hogar</x:v>
      </x:c>
      <x:c r="D114" t="str">
        <x:v>Electro / combo</x:v>
      </x:c>
      <x:c r="E114" t="str"/>
      <x:c r="F114" t="str">
        <x:v>Verificado</x:v>
      </x:c>
      <x:c r="G114" t="str"/>
      <x:c r="H114" s="32"/>
      <x:c r="I114" s="32"/>
      <x:c r="J114" s="32"/>
      <x:c r="K114" t="str">
        <x:v>Captura 8.08.40</x:v>
      </x:c>
      <x:c r="L114" t="str"/>
    </x:row>
    <x:row r="115" ht="18" customHeight="1">
      <x:c r="A115" t="n">
        <x:v>114</x:v>
      </x:c>
      <x:c r="B115" t="str">
        <x:v>Batidora 7 Velocidades Juego Cuchillos</x:v>
      </x:c>
      <x:c r="C115" t="str">
        <x:v>Hogar</x:v>
      </x:c>
      <x:c r="D115" t="str">
        <x:v>Electro / cocina</x:v>
      </x:c>
      <x:c r="E115" t="str"/>
      <x:c r="F115" t="str">
        <x:v>Verificado</x:v>
      </x:c>
      <x:c r="G115" t="str"/>
      <x:c r="H115" s="32"/>
      <x:c r="I115" s="32"/>
      <x:c r="J115" s="32"/>
      <x:c r="K115" t="str">
        <x:v>Captura 8.08.40</x:v>
      </x:c>
      <x:c r="L115" t="str"/>
    </x:row>
    <x:row r="116" ht="18" customHeight="1">
      <x:c r="A116" t="n">
        <x:v>115</x:v>
      </x:c>
      <x:c r="B116" t="str">
        <x:v>Embutidor De Chorizo</x:v>
      </x:c>
      <x:c r="C116" t="str">
        <x:v>Cocina</x:v>
      </x:c>
      <x:c r="D116" t="str">
        <x:v>Embutidor</x:v>
      </x:c>
      <x:c r="E116" t="str"/>
      <x:c r="F116" t="str">
        <x:v>Verificado</x:v>
      </x:c>
      <x:c r="G116" t="str"/>
      <x:c r="H116" s="32"/>
      <x:c r="I116" s="32"/>
      <x:c r="J116" s="32"/>
      <x:c r="K116" t="str">
        <x:v>Captura 8.08.40</x:v>
      </x:c>
      <x:c r="L116" t="str"/>
    </x:row>
    <x:row r="117" ht="18" customHeight="1">
      <x:c r="A117" t="n">
        <x:v>116</x:v>
      </x:c>
      <x:c r="B117" t="str">
        <x:v>Pistola Machadora 10 Clavos</x:v>
      </x:c>
      <x:c r="C117" t="str">
        <x:v>Herramientas</x:v>
      </x:c>
      <x:c r="D117" t="str">
        <x:v>Pistola clavos</x:v>
      </x:c>
      <x:c r="E117" t="str"/>
      <x:c r="F117" t="str">
        <x:v>Verificado</x:v>
      </x:c>
      <x:c r="G117" t="str"/>
      <x:c r="H117" s="32"/>
      <x:c r="I117" s="32"/>
      <x:c r="J117" s="32"/>
      <x:c r="K117" t="str">
        <x:v>Captura 8.08.40</x:v>
      </x:c>
      <x:c r="L117" t="str"/>
    </x:row>
    <x:row r="118" ht="18" customHeight="1">
      <x:c r="A118" t="n">
        <x:v>117</x:v>
      </x:c>
      <x:c r="B118" t="str">
        <x:v>Rodillo Masajeador De Pie</x:v>
      </x:c>
      <x:c r="C118" t="str">
        <x:v>Bienestar</x:v>
      </x:c>
      <x:c r="D118" t="str">
        <x:v>Masaje pies</x:v>
      </x:c>
      <x:c r="E118" t="str"/>
      <x:c r="F118" t="str">
        <x:v>Verificado</x:v>
      </x:c>
      <x:c r="G118" t="str"/>
      <x:c r="H118" s="32"/>
      <x:c r="I118" s="32"/>
      <x:c r="J118" s="32"/>
      <x:c r="K118" t="str">
        <x:v>Captura 8.08.40</x:v>
      </x:c>
      <x:c r="L118" t="str"/>
    </x:row>
    <x:row r="119" ht="18" customHeight="1">
      <x:c r="A119" t="n">
        <x:v>118</x:v>
      </x:c>
      <x:c r="B119" t="str">
        <x:v>Pinza Rizadora De Pelo En Espiral</x:v>
      </x:c>
      <x:c r="C119" t="str">
        <x:v>Belleza</x:v>
      </x:c>
      <x:c r="D119" t="str">
        <x:v>Cuidado capilar</x:v>
      </x:c>
      <x:c r="E119" t="str"/>
      <x:c r="F119" t="str">
        <x:v>Verificado</x:v>
      </x:c>
      <x:c r="G119" t="str"/>
      <x:c r="H119" s="32"/>
      <x:c r="I119" s="32"/>
      <x:c r="J119" s="32"/>
      <x:c r="K119" t="str">
        <x:v>Captura 8.08.40</x:v>
      </x:c>
      <x:c r="L119" t="str"/>
    </x:row>
    <x:row r="120" ht="18" customHeight="1">
      <x:c r="A120" t="n">
        <x:v>119</x:v>
      </x:c>
      <x:c r="B120" t="str">
        <x:v>Cepillo De Limpieza Electrico Para Baño</x:v>
      </x:c>
      <x:c r="C120" t="str">
        <x:v>Tecnología</x:v>
      </x:c>
      <x:c r="D120" t="str">
        <x:v>Limpieza eléctrica</x:v>
      </x:c>
      <x:c r="E120" t="str"/>
      <x:c r="F120" t="str">
        <x:v>Verificado</x:v>
      </x:c>
      <x:c r="G120" t="str"/>
      <x:c r="H120" s="32"/>
      <x:c r="I120" s="32"/>
      <x:c r="J120" s="32"/>
      <x:c r="K120" t="str">
        <x:v>Captura 8.08.40</x:v>
      </x:c>
      <x:c r="L120" t="str"/>
    </x:row>
    <x:row r="121" ht="18" customHeight="1">
      <x:c r="A121" t="n">
        <x:v>120</x:v>
      </x:c>
      <x:c r="B121" t="str">
        <x:v>Llavero Fifa Pops Del Mundo</x:v>
      </x:c>
      <x:c r="C121" t="str">
        <x:v>Deportes</x:v>
      </x:c>
      <x:c r="D121" t="str">
        <x:v>Accesorio fútbol</x:v>
      </x:c>
      <x:c r="E121" t="str"/>
      <x:c r="F121" t="str">
        <x:v>Verificado</x:v>
      </x:c>
      <x:c r="G121" t="str"/>
      <x:c r="H121" s="32"/>
      <x:c r="I121" s="32"/>
      <x:c r="J121" s="32"/>
      <x:c r="K121" t="str">
        <x:v>Captura 8.08.40</x:v>
      </x:c>
      <x:c r="L121" t="str"/>
    </x:row>
    <x:row r="122" ht="18" customHeight="1">
      <x:c r="A122" t="n">
        <x:v>121</x:v>
      </x:c>
      <x:c r="B122" t="str">
        <x:v>Batidor De Mano Molino De Cafe</x:v>
      </x:c>
      <x:c r="C122" t="str">
        <x:v>Cocina</x:v>
      </x:c>
      <x:c r="D122" t="str">
        <x:v>Batidor / molino</x:v>
      </x:c>
      <x:c r="E122" t="str"/>
      <x:c r="F122" t="str">
        <x:v>Verificado</x:v>
      </x:c>
      <x:c r="G122" t="str"/>
      <x:c r="H122" s="32"/>
      <x:c r="I122" s="32"/>
      <x:c r="J122" s="32"/>
      <x:c r="K122" t="str">
        <x:v>Captura 8.08.27</x:v>
      </x:c>
      <x:c r="L122" t="str"/>
    </x:row>
    <x:row r="123" ht="18" customHeight="1">
      <x:c r="A123" t="n">
        <x:v>122</x:v>
      </x:c>
      <x:c r="B123" t="str">
        <x:v>Almohada Para Piernas Rodillas Cojin</x:v>
      </x:c>
      <x:c r="C123" t="str">
        <x:v>Salud</x:v>
      </x:c>
      <x:c r="D123" t="str">
        <x:v>Soporte piernas</x:v>
      </x:c>
      <x:c r="E123" t="str"/>
      <x:c r="F123" t="str">
        <x:v>Verificado</x:v>
      </x:c>
      <x:c r="G123" t="str"/>
      <x:c r="H123" s="32"/>
      <x:c r="I123" s="32"/>
      <x:c r="J123" s="32"/>
      <x:c r="K123" t="str">
        <x:v>Captura 8.08.27</x:v>
      </x:c>
      <x:c r="L123" t="str"/>
    </x:row>
    <x:row r="124" ht="18" customHeight="1">
      <x:c r="A124" t="n">
        <x:v>123</x:v>
      </x:c>
      <x:c r="B124" t="str">
        <x:v>Combo Aguacate Sd06 Secador De Pelo</x:v>
      </x:c>
      <x:c r="C124" t="str">
        <x:v>Belleza</x:v>
      </x:c>
      <x:c r="D124" t="str">
        <x:v>Cuidado capilar</x:v>
      </x:c>
      <x:c r="E124" t="str"/>
      <x:c r="F124" t="str">
        <x:v>Verificado</x:v>
      </x:c>
      <x:c r="G124" t="str"/>
      <x:c r="H124" s="32"/>
      <x:c r="I124" s="32"/>
      <x:c r="J124" s="32"/>
      <x:c r="K124" t="str">
        <x:v>Captura 8.08.27</x:v>
      </x:c>
      <x:c r="L124" t="str"/>
    </x:row>
    <x:row r="125" ht="18" customHeight="1">
      <x:c r="A125" t="n">
        <x:v>124</x:v>
      </x:c>
      <x:c r="B125" t="str">
        <x:v>Tensiometro</x:v>
      </x:c>
      <x:c r="C125" t="str">
        <x:v>Salud</x:v>
      </x:c>
      <x:c r="D125" t="str">
        <x:v>Medición salud</x:v>
      </x:c>
      <x:c r="E125" t="str"/>
      <x:c r="F125" t="str">
        <x:v>Verificado</x:v>
      </x:c>
      <x:c r="G125" t="str"/>
      <x:c r="H125" s="32"/>
      <x:c r="I125" s="32"/>
      <x:c r="J125" s="32"/>
      <x:c r="K125" t="str">
        <x:v>Captura 8.08.27</x:v>
      </x:c>
      <x:c r="L125" t="str"/>
    </x:row>
    <x:row r="126" ht="18" customHeight="1">
      <x:c r="A126" t="n">
        <x:v>125</x:v>
      </x:c>
      <x:c r="B126" t="str">
        <x:v>Combo 3 Unidades Cinta Levanta Busto</x:v>
      </x:c>
      <x:c r="C126" t="str">
        <x:v>Belleza</x:v>
      </x:c>
      <x:c r="D126" t="str">
        <x:v>Cuidado corporal</x:v>
      </x:c>
      <x:c r="E126" t="str"/>
      <x:c r="F126" t="str">
        <x:v>Verificado</x:v>
      </x:c>
      <x:c r="G126" t="str"/>
      <x:c r="H126" s="32"/>
      <x:c r="I126" s="32"/>
      <x:c r="J126" s="32"/>
      <x:c r="K126" t="str">
        <x:v>Captura 8.08.27</x:v>
      </x:c>
      <x:c r="L126" t="str"/>
    </x:row>
    <x:row r="127" ht="18" customHeight="1">
      <x:c r="A127" t="n">
        <x:v>126</x:v>
      </x:c>
      <x:c r="B127" t="str">
        <x:v>Kit X Moldes Silicona Para Air Fryer</x:v>
      </x:c>
      <x:c r="C127" t="str">
        <x:v>Cocina</x:v>
      </x:c>
      <x:c r="D127" t="str">
        <x:v>Moldes air fryer</x:v>
      </x:c>
      <x:c r="E127" t="str"/>
      <x:c r="F127" t="str">
        <x:v>Verificado</x:v>
      </x:c>
      <x:c r="G127" t="str"/>
      <x:c r="H127" s="32"/>
      <x:c r="I127" s="32"/>
      <x:c r="J127" s="32"/>
      <x:c r="K127" t="str">
        <x:v>Captura 8.08.27</x:v>
      </x:c>
      <x:c r="L127" t="str"/>
    </x:row>
    <x:row r="128" ht="18" customHeight="1">
      <x:c r="A128" t="n">
        <x:v>127</x:v>
      </x:c>
      <x:c r="B128" t="str">
        <x:v>Set Hand Gripparhe Masajeador</x:v>
      </x:c>
      <x:c r="C128" t="str">
        <x:v>Deportes</x:v>
      </x:c>
      <x:c r="D128" t="str">
        <x:v>Ejercicio manos</x:v>
      </x:c>
      <x:c r="E128" t="str"/>
      <x:c r="F128" t="str">
        <x:v>Verificado</x:v>
      </x:c>
      <x:c r="G128" t="str"/>
      <x:c r="H128" s="32"/>
      <x:c r="I128" s="32"/>
      <x:c r="J128" s="32"/>
      <x:c r="K128" t="str">
        <x:v>Captura 8.08.27</x:v>
      </x:c>
      <x:c r="L128" t="str"/>
    </x:row>
    <x:row r="129" ht="18" customHeight="1">
      <x:c r="A129" t="n">
        <x:v>128</x:v>
      </x:c>
      <x:c r="B129" t="str">
        <x:v>Repuesto De Filtro Purificador De Agua</x:v>
      </x:c>
      <x:c r="C129" t="str">
        <x:v>Tecnología</x:v>
      </x:c>
      <x:c r="D129" t="str">
        <x:v>Filtro agua</x:v>
      </x:c>
      <x:c r="E129" t="str"/>
      <x:c r="F129" t="str">
        <x:v>Verificado</x:v>
      </x:c>
      <x:c r="G129" t="str"/>
      <x:c r="H129" s="32"/>
      <x:c r="I129" s="32"/>
      <x:c r="J129" s="32"/>
      <x:c r="K129" t="str">
        <x:v>Captura 8.08.27</x:v>
      </x:c>
      <x:c r="L129" t="str"/>
    </x:row>
    <x:row r="130" ht="18" customHeight="1">
      <x:c r="A130" t="n">
        <x:v>129</x:v>
      </x:c>
      <x:c r="B130" t="str">
        <x:v>Eliminador De Acaros Portatil Colchon</x:v>
      </x:c>
      <x:c r="C130" t="str">
        <x:v>Hogar</x:v>
      </x:c>
      <x:c r="D130" t="str">
        <x:v>Limpieza colchón</x:v>
      </x:c>
      <x:c r="E130" t="str"/>
      <x:c r="F130" t="str">
        <x:v>Verificado</x:v>
      </x:c>
      <x:c r="G130" t="str"/>
      <x:c r="H130" s="32"/>
      <x:c r="I130" s="32"/>
      <x:c r="J130" s="32"/>
      <x:c r="K130" t="str">
        <x:v>Captura 8.08.27</x:v>
      </x:c>
      <x:c r="L130" t="str"/>
    </x:row>
    <x:row r="131" ht="18" customHeight="1">
      <x:c r="A131" t="n">
        <x:v>130</x:v>
      </x:c>
      <x:c r="B131" t="str">
        <x:v>Fuente De Agua Gatos Blanca</x:v>
      </x:c>
      <x:c r="C131" t="str">
        <x:v>Mascotas</x:v>
      </x:c>
      <x:c r="D131" t="str">
        <x:v>Fuente agua mascotas</x:v>
      </x:c>
      <x:c r="E131" t="str"/>
      <x:c r="F131" t="str">
        <x:v>Verificado</x:v>
      </x:c>
      <x:c r="G131" t="str"/>
      <x:c r="H131" s="32"/>
      <x:c r="I131" s="32"/>
      <x:c r="J131" s="32"/>
      <x:c r="K131" t="str">
        <x:v>Captura 8.08.27</x:v>
      </x:c>
      <x:c r="L131" t="str"/>
    </x:row>
    <x:row r="132" ht="18" customHeight="1">
      <x:c r="A132" t="n">
        <x:v>131</x:v>
      </x:c>
      <x:c r="B132" t="str">
        <x:v>Calentador Portatil De Leche Para Bebe</x:v>
      </x:c>
      <x:c r="C132" t="str">
        <x:v>Bebé</x:v>
      </x:c>
      <x:c r="D132" t="str">
        <x:v>Alimentación bebé</x:v>
      </x:c>
      <x:c r="E132" t="str"/>
      <x:c r="F132" t="str">
        <x:v>Verificado</x:v>
      </x:c>
      <x:c r="G132" t="str"/>
      <x:c r="H132" s="32"/>
      <x:c r="I132" s="32"/>
      <x:c r="J132" s="32"/>
      <x:c r="K132" t="str">
        <x:v>Captura 8.08.27</x:v>
      </x:c>
      <x:c r="L132" t="str"/>
    </x:row>
    <x:row r="133" ht="18" customHeight="1">
      <x:c r="A133" t="n">
        <x:v>132</x:v>
      </x:c>
      <x:c r="B133" t="str">
        <x:v>Ventosa Chupa Saca Golpes Carro 1x Uni</x:v>
      </x:c>
      <x:c r="C133" t="str">
        <x:v>Hogar</x:v>
      </x:c>
      <x:c r="D133" t="str">
        <x:v>Herramienta ventosa</x:v>
      </x:c>
      <x:c r="E133" t="str"/>
      <x:c r="F133" t="str">
        <x:v>Verificado</x:v>
      </x:c>
      <x:c r="G133" t="str"/>
      <x:c r="H133" s="32"/>
      <x:c r="I133" s="32"/>
      <x:c r="J133" s="32"/>
      <x:c r="K133" t="str">
        <x:v>Captura 8.08.27</x:v>
      </x:c>
      <x:c r="L133" t="str"/>
    </x:row>
    <x:row r="134" ht="18" customHeight="1">
      <x:c r="A134" t="n">
        <x:v>133</x:v>
      </x:c>
      <x:c r="B134" t="str">
        <x:v>Escurridor De Platos De Red</x:v>
      </x:c>
      <x:c r="C134" t="str">
        <x:v>Cocina</x:v>
      </x:c>
      <x:c r="D134" t="str">
        <x:v>Escurridor</x:v>
      </x:c>
      <x:c r="E134" t="str"/>
      <x:c r="F134" t="str">
        <x:v>Verificado</x:v>
      </x:c>
      <x:c r="G134" t="str"/>
      <x:c r="H134" s="32"/>
      <x:c r="I134" s="32"/>
      <x:c r="J134" s="32"/>
      <x:c r="K134" t="str">
        <x:v>Captura 8.08.27</x:v>
      </x:c>
      <x:c r="L134" t="str"/>
    </x:row>
    <x:row r="135" ht="18" customHeight="1">
      <x:c r="A135" t="n">
        <x:v>134</x:v>
      </x:c>
      <x:c r="B135" t="str">
        <x:v>Hidrolavadora 2 Baterias Aspiradora Mini</x:v>
      </x:c>
      <x:c r="C135" t="str">
        <x:v>Herramientas</x:v>
      </x:c>
      <x:c r="D135" t="str">
        <x:v>Hidrolavadora / aspiradora</x:v>
      </x:c>
      <x:c r="E135" t="str"/>
      <x:c r="F135" t="str">
        <x:v>Verificado</x:v>
      </x:c>
      <x:c r="G135" t="str"/>
      <x:c r="H135" s="32"/>
      <x:c r="I135" s="32"/>
      <x:c r="J135" s="32"/>
      <x:c r="K135" t="str">
        <x:v>Captura 8.08.27</x:v>
      </x:c>
      <x:c r="L135" t="str"/>
    </x:row>
    <x:row r="136" ht="18" customHeight="1">
      <x:c r="A136" t="n">
        <x:v>135</x:v>
      </x:c>
      <x:c r="B136" t="str">
        <x:v>Dispensador De Jabon Para Platos</x:v>
      </x:c>
      <x:c r="C136" t="str">
        <x:v>Cocina</x:v>
      </x:c>
      <x:c r="D136" t="str">
        <x:v>Dispensador</x:v>
      </x:c>
      <x:c r="E136" t="str"/>
      <x:c r="F136" t="str">
        <x:v>Verificado</x:v>
      </x:c>
      <x:c r="G136" t="str"/>
      <x:c r="H136" s="32"/>
      <x:c r="I136" s="32"/>
      <x:c r="J136" s="32"/>
      <x:c r="K136" t="str">
        <x:v>Captura 8.08.27</x:v>
      </x:c>
      <x:c r="L136" t="str"/>
    </x:row>
    <x:row r="137" ht="18" customHeight="1">
      <x:c r="A137" t="n">
        <x:v>136</x:v>
      </x:c>
      <x:c r="B137" t="str">
        <x:v>Set Organizador De Baño</x:v>
      </x:c>
      <x:c r="C137" t="str">
        <x:v>Hogar</x:v>
      </x:c>
      <x:c r="D137" t="str">
        <x:v>Baño</x:v>
      </x:c>
      <x:c r="E137" t="str"/>
      <x:c r="F137" t="str">
        <x:v>Verificado</x:v>
      </x:c>
      <x:c r="G137" t="str"/>
      <x:c r="H137" s="32"/>
      <x:c r="I137" s="32"/>
      <x:c r="J137" s="32"/>
      <x:c r="K137" t="str">
        <x:v>Captura 8.08.27</x:v>
      </x:c>
      <x:c r="L137" t="str"/>
    </x:row>
    <x:row r="138" ht="18" customHeight="1">
      <x:c r="A138" t="n">
        <x:v>137</x:v>
      </x:c>
      <x:c r="B138" t="str">
        <x:v>Guadaña Herramienta Podadora Cortacesped</x:v>
      </x:c>
      <x:c r="C138" t="str">
        <x:v>Hogar</x:v>
      </x:c>
      <x:c r="D138" t="str">
        <x:v>Jardín</x:v>
      </x:c>
      <x:c r="E138" t="str"/>
      <x:c r="F138" t="str">
        <x:v>Verificado</x:v>
      </x:c>
      <x:c r="G138" t="str"/>
      <x:c r="H138" s="32"/>
      <x:c r="I138" s="32"/>
      <x:c r="J138" s="32"/>
      <x:c r="K138" t="str">
        <x:v>Captura 8.08.27</x:v>
      </x:c>
      <x:c r="L138" t="str"/>
    </x:row>
    <x:row r="139" ht="18" customHeight="1">
      <x:c r="A139" t="n">
        <x:v>138</x:v>
      </x:c>
      <x:c r="B139" t="str">
        <x:v>Muñeco Peluche Bailarin Repite Sonidos</x:v>
      </x:c>
      <x:c r="C139" t="str">
        <x:v>Juguetería</x:v>
      </x:c>
      <x:c r="D139" t="str">
        <x:v>Peluche interactivo</x:v>
      </x:c>
      <x:c r="E139" t="str"/>
      <x:c r="F139" t="str">
        <x:v>Verificado</x:v>
      </x:c>
      <x:c r="G139" t="str"/>
      <x:c r="H139" s="32"/>
      <x:c r="I139" s="32"/>
      <x:c r="J139" s="32"/>
      <x:c r="K139" t="str">
        <x:v>Captura 8.08.27</x:v>
      </x:c>
      <x:c r="L139" t="str"/>
    </x:row>
    <x:row r="140" ht="18" customHeight="1">
      <x:c r="A140" t="n">
        <x:v>139</x:v>
      </x:c>
      <x:c r="B140" t="str">
        <x:v>Molino Rallador Multiusos Picador</x:v>
      </x:c>
      <x:c r="C140" t="str">
        <x:v>Cocina</x:v>
      </x:c>
      <x:c r="D140" t="str">
        <x:v>Rallador / picador</x:v>
      </x:c>
      <x:c r="E140" t="str"/>
      <x:c r="F140" t="str">
        <x:v>Verificado</x:v>
      </x:c>
      <x:c r="G140" t="str"/>
      <x:c r="H140" s="32"/>
      <x:c r="I140" s="32"/>
      <x:c r="J140" s="32"/>
      <x:c r="K140" t="str">
        <x:v>Captura 8.08.27</x:v>
      </x:c>
      <x:c r="L140" t="str"/>
    </x:row>
    <x:row r="141" ht="18" customHeight="1">
      <x:c r="A141" t="n">
        <x:v>140</x:v>
      </x:c>
      <x:c r="B141" t="str">
        <x:v>Radio Para Carro Con Bluetooth 12V</x:v>
      </x:c>
      <x:c r="C141" t="str">
        <x:v>Tecnología</x:v>
      </x:c>
      <x:c r="D141" t="str">
        <x:v>Audio carro</x:v>
      </x:c>
      <x:c r="E141" t="str"/>
      <x:c r="F141" t="str">
        <x:v>Verificado</x:v>
      </x:c>
      <x:c r="G141" t="str"/>
      <x:c r="H141" s="32"/>
      <x:c r="I141" s="32"/>
      <x:c r="J141" s="32"/>
      <x:c r="K141" t="str">
        <x:v>Captura 8.08.27</x:v>
      </x:c>
      <x:c r="L141" t="str"/>
    </x:row>
    <x:row r="142" ht="18" customHeight="1">
      <x:c r="A142" t="n">
        <x:v>141</x:v>
      </x:c>
      <x:c r="B142" t="str">
        <x:v>Trapero Spray Mop Con Rociador</x:v>
      </x:c>
      <x:c r="C142" t="str">
        <x:v>Hogar</x:v>
      </x:c>
      <x:c r="D142" t="str">
        <x:v>Limpieza</x:v>
      </x:c>
      <x:c r="E142" t="str"/>
      <x:c r="F142" t="str">
        <x:v>Verificado</x:v>
      </x:c>
      <x:c r="G142" t="str"/>
      <x:c r="H142" s="32"/>
      <x:c r="I142" s="32"/>
      <x:c r="J142" s="32"/>
      <x:c r="K142" t="str">
        <x:v>Captura 8.08.27</x:v>
      </x:c>
      <x:c r="L142" t="str"/>
    </x:row>
    <x:row r="143" ht="18" customHeight="1">
      <x:c r="A143" t="n">
        <x:v>142</x:v>
      </x:c>
      <x:c r="B143" t="str">
        <x:v>Set De Utensilios De Cocina 12 Piezas</x:v>
      </x:c>
      <x:c r="C143" t="str">
        <x:v>Cocina</x:v>
      </x:c>
      <x:c r="D143" t="str">
        <x:v>Utensilios</x:v>
      </x:c>
      <x:c r="E143" t="str"/>
      <x:c r="F143" t="str">
        <x:v>Verificado</x:v>
      </x:c>
      <x:c r="G143" t="str"/>
      <x:c r="H143" s="32"/>
      <x:c r="I143" s="32"/>
      <x:c r="J143" s="32"/>
      <x:c r="K143" t="str">
        <x:v>Captura 8.08.27</x:v>
      </x:c>
      <x:c r="L143" t="str"/>
    </x:row>
    <x:row r="144" ht="18" customHeight="1">
      <x:c r="A144" t="n">
        <x:v>143</x:v>
      </x:c>
      <x:c r="B144" t="str">
        <x:v>Freidora De Aire Electrica 12 Litros</x:v>
      </x:c>
      <x:c r="C144" t="str">
        <x:v>Hogar</x:v>
      </x:c>
      <x:c r="D144" t="str">
        <x:v>Electrodoméstico</x:v>
      </x:c>
      <x:c r="E144" t="str"/>
      <x:c r="F144" t="str">
        <x:v>Verificado</x:v>
      </x:c>
      <x:c r="G144" t="str"/>
      <x:c r="H144" s="32"/>
      <x:c r="I144" s="32"/>
      <x:c r="J144" s="32"/>
      <x:c r="K144" t="str">
        <x:v>Captura 8.08.27</x:v>
      </x:c>
      <x:c r="L144" t="str"/>
    </x:row>
    <x:row r="145" ht="18" customHeight="1">
      <x:c r="A145" t="n">
        <x:v>144</x:v>
      </x:c>
      <x:c r="B145" t="str">
        <x:v>Hervidor De Huevos Mini Waflera</x:v>
      </x:c>
      <x:c r="C145" t="str">
        <x:v>Cocina</x:v>
      </x:c>
      <x:c r="D145" t="str">
        <x:v>Electro cocina</x:v>
      </x:c>
      <x:c r="E145" t="str"/>
      <x:c r="F145" t="str">
        <x:v>Verificado</x:v>
      </x:c>
      <x:c r="G145" t="str"/>
      <x:c r="H145" s="32"/>
      <x:c r="I145" s="32"/>
      <x:c r="J145" s="32"/>
      <x:c r="K145" t="str">
        <x:v>Captura 8.08.27</x:v>
      </x:c>
      <x:c r="L145" t="str"/>
    </x:row>
    <x:row r="146" ht="18" customHeight="1">
      <x:c r="A146" t="n">
        <x:v>145</x:v>
      </x:c>
      <x:c r="B146" t="str">
        <x:v>Lonchera Electrica</x:v>
      </x:c>
      <x:c r="C146" t="str">
        <x:v>Hogar</x:v>
      </x:c>
      <x:c r="D146" t="str">
        <x:v>Portacomida eléctrica</x:v>
      </x:c>
      <x:c r="E146" t="str"/>
      <x:c r="F146" t="str">
        <x:v>Verificado</x:v>
      </x:c>
      <x:c r="G146" t="str"/>
      <x:c r="H146" s="32"/>
      <x:c r="I146" s="32"/>
      <x:c r="J146" s="32"/>
      <x:c r="K146" t="str">
        <x:v>Captura 8.08.27</x:v>
      </x:c>
      <x:c r="L146" t="str"/>
    </x:row>
    <x:row r="147" ht="18" customHeight="1">
      <x:c r="A147" t="n">
        <x:v>146</x:v>
      </x:c>
      <x:c r="B147" t="str">
        <x:v>Quita Callos Removedor De Callos</x:v>
      </x:c>
      <x:c r="C147" t="str">
        <x:v>Salud</x:v>
      </x:c>
      <x:c r="D147" t="str">
        <x:v>Cuidado pies</x:v>
      </x:c>
      <x:c r="E147" t="str"/>
      <x:c r="F147" t="str">
        <x:v>Verificado</x:v>
      </x:c>
      <x:c r="G147" t="str"/>
      <x:c r="H147" s="32"/>
      <x:c r="I147" s="32"/>
      <x:c r="J147" s="32"/>
      <x:c r="K147" t="str">
        <x:v>Captura 8.08.27</x:v>
      </x:c>
      <x:c r="L147" t="str"/>
    </x:row>
    <x:row r="148" ht="18" customHeight="1">
      <x:c r="A148" t="n">
        <x:v>147</x:v>
      </x:c>
      <x:c r="B148" t="str">
        <x:v>Combo Maquina Budat99 Maquina Wahl Senior</x:v>
      </x:c>
      <x:c r="C148" t="str">
        <x:v>Belleza</x:v>
      </x:c>
      <x:c r="D148" t="str">
        <x:v>Barbería</x:v>
      </x:c>
      <x:c r="E148" t="str"/>
      <x:c r="F148" t="str">
        <x:v>Verificado</x:v>
      </x:c>
      <x:c r="G148" t="str"/>
      <x:c r="H148" s="32"/>
      <x:c r="I148" s="32"/>
      <x:c r="J148" s="32"/>
      <x:c r="K148" t="str">
        <x:v>Captura 8.08.27</x:v>
      </x:c>
      <x:c r="L148" t="str"/>
    </x:row>
    <x:row r="149" ht="18" customHeight="1">
      <x:c r="A149" t="n">
        <x:v>148</x:v>
      </x:c>
      <x:c r="B149" t="str">
        <x:v>Parlante 8 25v Con Microfono</x:v>
      </x:c>
      <x:c r="C149" t="str">
        <x:v>Tecnología</x:v>
      </x:c>
      <x:c r="D149" t="str">
        <x:v>Audio</x:v>
      </x:c>
      <x:c r="E149" t="str"/>
      <x:c r="F149" t="str">
        <x:v>Verificado</x:v>
      </x:c>
      <x:c r="G149" t="str"/>
      <x:c r="H149" s="32"/>
      <x:c r="I149" s="32"/>
      <x:c r="J149" s="32"/>
      <x:c r="K149" t="str">
        <x:v>Captura 8.08.27</x:v>
      </x:c>
      <x:c r="L149" t="str"/>
    </x:row>
    <x:row r="150" ht="18" customHeight="1">
      <x:c r="A150" t="n">
        <x:v>149</x:v>
      </x:c>
      <x:c r="B150" t="str">
        <x:v>Aspiradora Vertical De Mano Con Extensor</x:v>
      </x:c>
      <x:c r="C150" t="str">
        <x:v>Hogar</x:v>
      </x:c>
      <x:c r="D150" t="str">
        <x:v>Aspiradora</x:v>
      </x:c>
      <x:c r="E150" t="str"/>
      <x:c r="F150" t="str">
        <x:v>Verificado</x:v>
      </x:c>
      <x:c r="G150" t="str"/>
      <x:c r="H150" s="32"/>
      <x:c r="I150" s="32"/>
      <x:c r="J150" s="32"/>
      <x:c r="K150" t="str">
        <x:v>Captura 8.08.27</x:v>
      </x:c>
      <x:c r="L150" t="str"/>
    </x:row>
    <x:row r="151" ht="18" customHeight="1">
      <x:c r="A151" t="n">
        <x:v>150</x:v>
      </x:c>
      <x:c r="B151" t="str">
        <x:v>Mini Compresor Azul</x:v>
      </x:c>
      <x:c r="C151" t="str">
        <x:v>Tecnología</x:v>
      </x:c>
      <x:c r="D151" t="str">
        <x:v>Compresor</x:v>
      </x:c>
      <x:c r="E151" t="str"/>
      <x:c r="F151" t="str">
        <x:v>Verificado</x:v>
      </x:c>
      <x:c r="G151" t="str"/>
      <x:c r="H151" s="32"/>
      <x:c r="I151" s="32"/>
      <x:c r="J151" s="32"/>
      <x:c r="K151" t="str">
        <x:v>Captura 8.08.27</x:v>
      </x:c>
      <x:c r="L151" t="str"/>
    </x:row>
    <x:row r="152" ht="18" customHeight="1">
      <x:c r="A152" t="n">
        <x:v>151</x:v>
      </x:c>
      <x:c r="B152" t="str">
        <x:v>Cepillo Deslanador De Pelo</x:v>
      </x:c>
      <x:c r="C152" t="str">
        <x:v>Mascotas</x:v>
      </x:c>
      <x:c r="D152" t="str">
        <x:v>Cuidado mascotas</x:v>
      </x:c>
      <x:c r="E152" t="str"/>
      <x:c r="F152" t="str">
        <x:v>Verificado</x:v>
      </x:c>
      <x:c r="G152" t="str"/>
      <x:c r="H152" s="32"/>
      <x:c r="I152" s="32"/>
      <x:c r="J152" s="32"/>
      <x:c r="K152" t="str">
        <x:v>Captura 8.08.14</x:v>
      </x:c>
      <x:c r="L152" t="str"/>
    </x:row>
    <x:row r="153" ht="18" customHeight="1">
      <x:c r="A153" t="n">
        <x:v>152</x:v>
      </x:c>
      <x:c r="B153" t="str">
        <x:v>Secador Pelo Peine Para Mascotas 2 En 1</x:v>
      </x:c>
      <x:c r="C153" t="str">
        <x:v>Mascotas</x:v>
      </x:c>
      <x:c r="D153" t="str">
        <x:v>Cuidado mascotas</x:v>
      </x:c>
      <x:c r="E153" t="str"/>
      <x:c r="F153" t="str">
        <x:v>Verificado</x:v>
      </x:c>
      <x:c r="G153" t="str"/>
      <x:c r="H153" s="32"/>
      <x:c r="I153" s="32"/>
      <x:c r="J153" s="32"/>
      <x:c r="K153" t="str">
        <x:v>Captura 8.08.14</x:v>
      </x:c>
      <x:c r="L153" t="str"/>
    </x:row>
    <x:row r="154" ht="18" customHeight="1">
      <x:c r="A154" t="n">
        <x:v>153</x:v>
      </x:c>
      <x:c r="B154" t="str">
        <x:v>Lampara Reflector Solar 50 W</x:v>
      </x:c>
      <x:c r="C154" t="str">
        <x:v>Tecnología</x:v>
      </x:c>
      <x:c r="D154" t="str">
        <x:v>Iluminación solar</x:v>
      </x:c>
      <x:c r="E154" t="str"/>
      <x:c r="F154" t="str">
        <x:v>Verificado</x:v>
      </x:c>
      <x:c r="G154" t="str"/>
      <x:c r="H154" s="32"/>
      <x:c r="I154" s="32"/>
      <x:c r="J154" s="32"/>
      <x:c r="K154" t="str">
        <x:v>Captura 8.08.14</x:v>
      </x:c>
      <x:c r="L154" t="str"/>
    </x:row>
    <x:row r="155" ht="18" customHeight="1">
      <x:c r="A155" t="n">
        <x:v>154</x:v>
      </x:c>
      <x:c r="B155" t="str">
        <x:v>Set De Cosmeticos Para Niña</x:v>
      </x:c>
      <x:c r="C155" t="str">
        <x:v>Juguetería</x:v>
      </x:c>
      <x:c r="D155" t="str">
        <x:v>Cosméticos infantiles</x:v>
      </x:c>
      <x:c r="E155" t="str"/>
      <x:c r="F155" t="str">
        <x:v>Verificado</x:v>
      </x:c>
      <x:c r="G155" t="str"/>
      <x:c r="H155" s="32"/>
      <x:c r="I155" s="32"/>
      <x:c r="J155" s="32"/>
      <x:c r="K155" t="str">
        <x:v>Captura 8.08.14</x:v>
      </x:c>
      <x:c r="L155" t="str"/>
    </x:row>
    <x:row r="156" ht="18" customHeight="1">
      <x:c r="A156" t="n">
        <x:v>155</x:v>
      </x:c>
      <x:c r="B156" t="str">
        <x:v>Rodillera Termica Rodillera Ortopedica</x:v>
      </x:c>
      <x:c r="C156" t="str">
        <x:v>Bienestar</x:v>
      </x:c>
      <x:c r="D156" t="str">
        <x:v>Rodillera</x:v>
      </x:c>
      <x:c r="E156" t="str"/>
      <x:c r="F156" t="str">
        <x:v>Verificado</x:v>
      </x:c>
      <x:c r="G156" t="str"/>
      <x:c r="H156" s="32"/>
      <x:c r="I156" s="32"/>
      <x:c r="J156" s="32"/>
      <x:c r="K156" t="str">
        <x:v>Captura 8.08.14</x:v>
      </x:c>
      <x:c r="L156" t="str"/>
    </x:row>
    <x:row r="157" ht="18" customHeight="1">
      <x:c r="A157" t="n">
        <x:v>156</x:v>
      </x:c>
      <x:c r="B157" t="str">
        <x:v>Lonchera Lunch Box 3 Piezas</x:v>
      </x:c>
      <x:c r="C157" t="str">
        <x:v>Hogar</x:v>
      </x:c>
      <x:c r="D157" t="str">
        <x:v>Lonchera</x:v>
      </x:c>
      <x:c r="E157" t="str"/>
      <x:c r="F157" t="str">
        <x:v>Verificado</x:v>
      </x:c>
      <x:c r="G157" t="str"/>
      <x:c r="H157" s="32"/>
      <x:c r="I157" s="32"/>
      <x:c r="J157" s="32"/>
      <x:c r="K157" t="str">
        <x:v>Captura 8.08.14</x:v>
      </x:c>
      <x:c r="L157" t="str"/>
    </x:row>
    <x:row r="158" ht="18" customHeight="1">
      <x:c r="A158" t="n">
        <x:v>157</x:v>
      </x:c>
      <x:c r="B158" t="str">
        <x:v>Maquina Coser Portatil Mini</x:v>
      </x:c>
      <x:c r="C158" t="str">
        <x:v>Hogar</x:v>
      </x:c>
      <x:c r="D158" t="str">
        <x:v>Máquina de coser</x:v>
      </x:c>
      <x:c r="E158" t="str"/>
      <x:c r="F158" t="str">
        <x:v>Verificado</x:v>
      </x:c>
      <x:c r="G158" t="str"/>
      <x:c r="H158" s="32"/>
      <x:c r="I158" s="32"/>
      <x:c r="J158" s="32"/>
      <x:c r="K158" t="str">
        <x:v>Captura 8.08.14</x:v>
      </x:c>
      <x:c r="L158" t="str"/>
    </x:row>
    <x:row r="159" ht="18" customHeight="1">
      <x:c r="A159" t="n">
        <x:v>158</x:v>
      </x:c>
      <x:c r="B159" t="str">
        <x:v>Secador Remington Plancha Aguacate</x:v>
      </x:c>
      <x:c r="C159" t="str">
        <x:v>Belleza</x:v>
      </x:c>
      <x:c r="D159" t="str">
        <x:v>Cuidado capilar</x:v>
      </x:c>
      <x:c r="E159" t="str"/>
      <x:c r="F159" t="str">
        <x:v>Verificado</x:v>
      </x:c>
      <x:c r="G159" t="str"/>
      <x:c r="H159" s="32"/>
      <x:c r="I159" s="32"/>
      <x:c r="J159" s="32"/>
      <x:c r="K159" t="str">
        <x:v>Captura 8.08.14</x:v>
      </x:c>
      <x:c r="L159" t="str"/>
    </x:row>
    <x:row r="160" ht="18" customHeight="1">
      <x:c r="A160" t="n">
        <x:v>159</x:v>
      </x:c>
      <x:c r="B160" t="str">
        <x:v>Destornilladores 48 Luz Llavero</x:v>
      </x:c>
      <x:c r="C160" t="str">
        <x:v>Herramientas</x:v>
      </x:c>
      <x:c r="D160" t="str">
        <x:v>Destornillador / llavero</x:v>
      </x:c>
      <x:c r="E160" t="str"/>
      <x:c r="F160" t="str">
        <x:v>Verificado</x:v>
      </x:c>
      <x:c r="G160" t="str"/>
      <x:c r="H160" s="32"/>
      <x:c r="I160" s="32"/>
      <x:c r="J160" s="32"/>
      <x:c r="K160" t="str">
        <x:v>Captura 8.08.14</x:v>
      </x:c>
      <x:c r="L160" t="str"/>
    </x:row>
    <x:row r="161" ht="18" customHeight="1">
      <x:c r="A161" t="n">
        <x:v>160</x:v>
      </x:c>
      <x:c r="B161" t="str">
        <x:v>Zapatero 6 Niveles Organizador Baño Medi</x:v>
      </x:c>
      <x:c r="C161" t="str">
        <x:v>Hogar</x:v>
      </x:c>
      <x:c r="D161" t="str">
        <x:v>Organización</x:v>
      </x:c>
      <x:c r="E161" t="str"/>
      <x:c r="F161" t="str">
        <x:v>Verificado</x:v>
      </x:c>
      <x:c r="G161" t="str"/>
      <x:c r="H161" s="32"/>
      <x:c r="I161" s="32"/>
      <x:c r="J161" s="32"/>
      <x:c r="K161" t="str">
        <x:v>Captura 8.08.14</x:v>
      </x:c>
      <x:c r="L161" t="str"/>
    </x:row>
    <x:row r="162" ht="18" customHeight="1">
      <x:c r="A162" t="n">
        <x:v>161</x:v>
      </x:c>
      <x:c r="B162" t="str">
        <x:v>Reflector Lampara Solar 100 W</x:v>
      </x:c>
      <x:c r="C162" t="str">
        <x:v>Tecnología</x:v>
      </x:c>
      <x:c r="D162" t="str">
        <x:v>Iluminación solar</x:v>
      </x:c>
      <x:c r="E162" t="str"/>
      <x:c r="F162" t="str">
        <x:v>Verificado</x:v>
      </x:c>
      <x:c r="G162" t="str"/>
      <x:c r="H162" s="32"/>
      <x:c r="I162" s="32"/>
      <x:c r="J162" s="32"/>
      <x:c r="K162" t="str">
        <x:v>Captura 8.08.14</x:v>
      </x:c>
      <x:c r="L162" t="str"/>
    </x:row>
    <x:row r="163" ht="18" customHeight="1">
      <x:c r="A163" t="n">
        <x:v>162</x:v>
      </x:c>
      <x:c r="B163" t="str">
        <x:v>Escurridor De Platos 3 Niveles</x:v>
      </x:c>
      <x:c r="C163" t="str">
        <x:v>Cocina</x:v>
      </x:c>
      <x:c r="D163" t="str">
        <x:v>Escurridor</x:v>
      </x:c>
      <x:c r="E163" t="str"/>
      <x:c r="F163" t="str">
        <x:v>Verificado</x:v>
      </x:c>
      <x:c r="G163" t="str"/>
      <x:c r="H163" s="32"/>
      <x:c r="I163" s="32"/>
      <x:c r="J163" s="32"/>
      <x:c r="K163" t="str">
        <x:v>Captura 8.08.14</x:v>
      </x:c>
      <x:c r="L163" t="str"/>
    </x:row>
    <x:row r="164" ht="18" customHeight="1">
      <x:c r="A164" t="n">
        <x:v>163</x:v>
      </x:c>
      <x:c r="B164" t="str">
        <x:v>Soplador Recargable</x:v>
      </x:c>
      <x:c r="C164" t="str">
        <x:v>Tecnología</x:v>
      </x:c>
      <x:c r="D164" t="str">
        <x:v>Soplador</x:v>
      </x:c>
      <x:c r="E164" t="str"/>
      <x:c r="F164" t="str">
        <x:v>Verificado</x:v>
      </x:c>
      <x:c r="G164" t="str"/>
      <x:c r="H164" s="32"/>
      <x:c r="I164" s="32"/>
      <x:c r="J164" s="32"/>
      <x:c r="K164" t="str">
        <x:v>Captura 8.08.14</x:v>
      </x:c>
      <x:c r="L164" t="str"/>
    </x:row>
    <x:row r="165" ht="18" customHeight="1">
      <x:c r="A165" t="n">
        <x:v>164</x:v>
      </x:c>
      <x:c r="B165" t="str">
        <x:v>Combo Camara A9 Mini Linterna Llavero</x:v>
      </x:c>
      <x:c r="C165" t="str">
        <x:v>Tecnología</x:v>
      </x:c>
      <x:c r="D165" t="str">
        <x:v>Seguridad / linterna</x:v>
      </x:c>
      <x:c r="E165" t="str"/>
      <x:c r="F165" t="str">
        <x:v>Verificado</x:v>
      </x:c>
      <x:c r="G165" t="str"/>
      <x:c r="H165" s="32"/>
      <x:c r="I165" s="32"/>
      <x:c r="J165" s="32"/>
      <x:c r="K165" t="str">
        <x:v>Captura 8.08.14</x:v>
      </x:c>
      <x:c r="L165" t="str"/>
    </x:row>
    <x:row r="166" ht="18" customHeight="1">
      <x:c r="A166" t="n">
        <x:v>165</x:v>
      </x:c>
      <x:c r="B166" t="str">
        <x:v>Cargador De Bateria De Carro De 12v 6a</x:v>
      </x:c>
      <x:c r="C166" t="str">
        <x:v>Tecnología</x:v>
      </x:c>
      <x:c r="D166" t="str">
        <x:v>Cargador carro</x:v>
      </x:c>
      <x:c r="E166" t="str"/>
      <x:c r="F166" t="str">
        <x:v>Verificado</x:v>
      </x:c>
      <x:c r="G166" t="str"/>
      <x:c r="H166" s="32"/>
      <x:c r="I166" s="32"/>
      <x:c r="J166" s="32"/>
      <x:c r="K166" t="str">
        <x:v>Captura 8.08.14</x:v>
      </x:c>
      <x:c r="L166" t="str"/>
    </x:row>
    <x:row r="167" ht="18" customHeight="1">
      <x:c r="A167" t="n">
        <x:v>166</x:v>
      </x:c>
      <x:c r="B167" t="str">
        <x:v>Juego De Mesa Basta Piensa</x:v>
      </x:c>
      <x:c r="C167" t="str">
        <x:v>Juguetería</x:v>
      </x:c>
      <x:c r="D167" t="str">
        <x:v>Juego de mesa</x:v>
      </x:c>
      <x:c r="E167" t="str"/>
      <x:c r="F167" t="str">
        <x:v>Verificado</x:v>
      </x:c>
      <x:c r="G167" t="str"/>
      <x:c r="H167" s="32"/>
      <x:c r="I167" s="32"/>
      <x:c r="J167" s="32"/>
      <x:c r="K167" t="str">
        <x:v>Captura 8.08.14</x:v>
      </x:c>
      <x:c r="L167" t="str"/>
    </x:row>
    <x:row r="168" ht="18" customHeight="1">
      <x:c r="A168" t="n">
        <x:v>167</x:v>
      </x:c>
      <x:c r="B168" t="str">
        <x:v>Difusor De Secador De Cabello</x:v>
      </x:c>
      <x:c r="C168" t="str">
        <x:v>Belleza</x:v>
      </x:c>
      <x:c r="D168" t="str">
        <x:v>Cuidado capilar</x:v>
      </x:c>
      <x:c r="E168" t="str"/>
      <x:c r="F168" t="str">
        <x:v>Verificado</x:v>
      </x:c>
      <x:c r="G168" t="str"/>
      <x:c r="H168" s="32"/>
      <x:c r="I168" s="32"/>
      <x:c r="J168" s="32"/>
      <x:c r="K168" t="str">
        <x:v>Captura 8.08.14</x:v>
      </x:c>
      <x:c r="L168" t="str"/>
    </x:row>
    <x:row r="169" ht="18" customHeight="1">
      <x:c r="A169" t="n">
        <x:v>168</x:v>
      </x:c>
      <x:c r="B169" t="str">
        <x:v>Tarjetas Interactivas</x:v>
      </x:c>
      <x:c r="C169" t="str">
        <x:v>Juguetería</x:v>
      </x:c>
      <x:c r="D169" t="str">
        <x:v>Juego educativo</x:v>
      </x:c>
      <x:c r="E169" t="str"/>
      <x:c r="F169" t="str">
        <x:v>Verificado</x:v>
      </x:c>
      <x:c r="G169" t="str"/>
      <x:c r="H169" s="32"/>
      <x:c r="I169" s="32"/>
      <x:c r="J169" s="32"/>
      <x:c r="K169" t="str">
        <x:v>Captura 8.08.14</x:v>
      </x:c>
      <x:c r="L169" t="str"/>
    </x:row>
    <x:row r="170" ht="18" customHeight="1">
      <x:c r="A170" t="n">
        <x:v>169</x:v>
      </x:c>
      <x:c r="B170" t="str">
        <x:v>Secador De Pelo Nova</x:v>
      </x:c>
      <x:c r="C170" t="str">
        <x:v>Belleza</x:v>
      </x:c>
      <x:c r="D170" t="str">
        <x:v>Cuidado capilar</x:v>
      </x:c>
      <x:c r="E170" t="str"/>
      <x:c r="F170" t="str">
        <x:v>Verificado</x:v>
      </x:c>
      <x:c r="G170" t="str"/>
      <x:c r="H170" s="32"/>
      <x:c r="I170" s="32"/>
      <x:c r="J170" s="32"/>
      <x:c r="K170" t="str">
        <x:v>Captura 8.08.14</x:v>
      </x:c>
      <x:c r="L170" t="str"/>
    </x:row>
    <x:row r="171" ht="18" customHeight="1">
      <x:c r="A171" t="n">
        <x:v>170</x:v>
      </x:c>
      <x:c r="B171" t="str">
        <x:v>Faja Deportiva Tobillera Ajustable X2</x:v>
      </x:c>
      <x:c r="C171" t="str">
        <x:v>Deportes</x:v>
      </x:c>
      <x:c r="D171" t="str">
        <x:v>Soporte deportivo</x:v>
      </x:c>
      <x:c r="E171" t="str"/>
      <x:c r="F171" t="str">
        <x:v>Verificado</x:v>
      </x:c>
      <x:c r="G171" t="str"/>
      <x:c r="H171" s="32"/>
      <x:c r="I171" s="32"/>
      <x:c r="J171" s="32"/>
      <x:c r="K171" t="str">
        <x:v>Captura 8.08.14</x:v>
      </x:c>
      <x:c r="L171" t="str"/>
    </x:row>
    <x:row r="172" ht="18" customHeight="1">
      <x:c r="A172" t="n">
        <x:v>171</x:v>
      </x:c>
      <x:c r="B172" t="str">
        <x:v>Plancha Aguacate Para Cabello</x:v>
      </x:c>
      <x:c r="C172" t="str">
        <x:v>Belleza</x:v>
      </x:c>
      <x:c r="D172" t="str">
        <x:v>Cuidado capilar</x:v>
      </x:c>
      <x:c r="E172" t="str"/>
      <x:c r="F172" t="str">
        <x:v>Verificado</x:v>
      </x:c>
      <x:c r="G172" t="str"/>
      <x:c r="H172" s="32"/>
      <x:c r="I172" s="32"/>
      <x:c r="J172" s="32"/>
      <x:c r="K172" t="str">
        <x:v>Captura 8.08.14</x:v>
      </x:c>
      <x:c r="L172" t="str"/>
    </x:row>
    <x:row r="173" ht="18" customHeight="1">
      <x:c r="A173" t="n">
        <x:v>172</x:v>
      </x:c>
      <x:c r="B173" t="str">
        <x:v>Organizador Cisterna Inodoro 3 Niveles</x:v>
      </x:c>
      <x:c r="C173" t="str">
        <x:v>Hogar</x:v>
      </x:c>
      <x:c r="D173" t="str">
        <x:v>Baño / organización</x:v>
      </x:c>
      <x:c r="E173" t="str"/>
      <x:c r="F173" t="str">
        <x:v>Verificado</x:v>
      </x:c>
      <x:c r="G173" t="str"/>
      <x:c r="H173" s="32"/>
      <x:c r="I173" s="32"/>
      <x:c r="J173" s="32"/>
      <x:c r="K173" t="str">
        <x:v>Captura 8.08.14</x:v>
      </x:c>
      <x:c r="L173" t="str"/>
    </x:row>
    <x:row r="174" ht="18" customHeight="1">
      <x:c r="A174" t="n">
        <x:v>173</x:v>
      </x:c>
      <x:c r="B174" t="str">
        <x:v>Aspiradora Para Carro 120w</x:v>
      </x:c>
      <x:c r="C174" t="str">
        <x:v>Tecnología</x:v>
      </x:c>
      <x:c r="D174" t="str">
        <x:v>Aspiradora carro</x:v>
      </x:c>
      <x:c r="E174" t="str"/>
      <x:c r="F174" t="str">
        <x:v>Verificado</x:v>
      </x:c>
      <x:c r="G174" t="str"/>
      <x:c r="H174" s="32"/>
      <x:c r="I174" s="32"/>
      <x:c r="J174" s="32"/>
      <x:c r="K174" t="str">
        <x:v>Captura 8.08.14</x:v>
      </x:c>
      <x:c r="L174" t="str"/>
    </x:row>
    <x:row r="175" ht="18" customHeight="1">
      <x:c r="A175" t="n">
        <x:v>174</x:v>
      </x:c>
      <x:c r="B175" t="str">
        <x:v>Bomba De Transferencia De Liquido</x:v>
      </x:c>
      <x:c r="C175" t="str">
        <x:v>Herramientas</x:v>
      </x:c>
      <x:c r="D175" t="str">
        <x:v>Bomba</x:v>
      </x:c>
      <x:c r="E175" t="str"/>
      <x:c r="F175" t="str">
        <x:v>Verificado</x:v>
      </x:c>
      <x:c r="G175" t="str"/>
      <x:c r="H175" s="32"/>
      <x:c r="I175" s="32"/>
      <x:c r="J175" s="32"/>
      <x:c r="K175" t="str">
        <x:v>Captura 8.08.14</x:v>
      </x:c>
      <x:c r="L175" t="str"/>
    </x:row>
    <x:row r="176" ht="18" customHeight="1">
      <x:c r="A176" t="n">
        <x:v>175</x:v>
      </x:c>
      <x:c r="B176" t="str">
        <x:v>Audifono Para Sordos</x:v>
      </x:c>
      <x:c r="C176" t="str">
        <x:v>Salud</x:v>
      </x:c>
      <x:c r="D176" t="str">
        <x:v>Ayuda auditiva</x:v>
      </x:c>
      <x:c r="E176" t="str"/>
      <x:c r="F176" t="str">
        <x:v>Verificado</x:v>
      </x:c>
      <x:c r="G176" t="str"/>
      <x:c r="H176" s="32"/>
      <x:c r="I176" s="32"/>
      <x:c r="J176" s="32"/>
      <x:c r="K176" t="str">
        <x:v>Captura 8.08.14</x:v>
      </x:c>
      <x:c r="L176" t="str"/>
    </x:row>
    <x:row r="177" ht="18" customHeight="1">
      <x:c r="A177" t="n">
        <x:v>176</x:v>
      </x:c>
      <x:c r="B177" t="str">
        <x:v>Aire Acondicionado Gwt Ventilador Portatil</x:v>
      </x:c>
      <x:c r="C177" t="str">
        <x:v>Hogar</x:v>
      </x:c>
      <x:c r="D177" t="str">
        <x:v>Ventilación</x:v>
      </x:c>
      <x:c r="E177" t="str"/>
      <x:c r="F177" t="str">
        <x:v>Verificado</x:v>
      </x:c>
      <x:c r="G177" t="str"/>
      <x:c r="H177" s="32"/>
      <x:c r="I177" s="32"/>
      <x:c r="J177" s="32"/>
      <x:c r="K177" t="str">
        <x:v>Captura 8.08.14</x:v>
      </x:c>
      <x:c r="L177" t="str"/>
    </x:row>
    <x:row r="178" ht="18" customHeight="1">
      <x:c r="A178" t="n">
        <x:v>177</x:v>
      </x:c>
      <x:c r="B178" t="str">
        <x:v>Kit Inalambrico Teclado Mouse</x:v>
      </x:c>
      <x:c r="C178" t="str">
        <x:v>Tecnología</x:v>
      </x:c>
      <x:c r="D178" t="str">
        <x:v>Computación</x:v>
      </x:c>
      <x:c r="E178" t="str"/>
      <x:c r="F178" t="str">
        <x:v>Verificado</x:v>
      </x:c>
      <x:c r="G178" t="str"/>
      <x:c r="H178" s="32"/>
      <x:c r="I178" s="32"/>
      <x:c r="J178" s="32"/>
      <x:c r="K178" t="str">
        <x:v>Captura 8.08.14</x:v>
      </x:c>
      <x:c r="L178" t="str"/>
    </x:row>
    <x:row r="179" ht="18" customHeight="1">
      <x:c r="A179" t="n">
        <x:v>178</x:v>
      </x:c>
      <x:c r="B179" t="str">
        <x:v>Removedor De Callos Electrico Rosa</x:v>
      </x:c>
      <x:c r="C179" t="str">
        <x:v>Belleza</x:v>
      </x:c>
      <x:c r="D179" t="str">
        <x:v>Cuidado pies</x:v>
      </x:c>
      <x:c r="E179" t="str"/>
      <x:c r="F179" t="str">
        <x:v>Verificado</x:v>
      </x:c>
      <x:c r="G179" t="str"/>
      <x:c r="H179" s="32"/>
      <x:c r="I179" s="32"/>
      <x:c r="J179" s="32"/>
      <x:c r="K179" t="str">
        <x:v>Captura 8.08.14</x:v>
      </x:c>
      <x:c r="L179" t="str"/>
    </x:row>
    <x:row r="180" ht="18" customHeight="1">
      <x:c r="A180" t="n">
        <x:v>179</x:v>
      </x:c>
      <x:c r="B180" t="str">
        <x:v>Mini Parche Masajeador Electrico</x:v>
      </x:c>
      <x:c r="C180" t="str">
        <x:v>Hogar</x:v>
      </x:c>
      <x:c r="D180" t="str">
        <x:v>Masajeador</x:v>
      </x:c>
      <x:c r="E180" t="str"/>
      <x:c r="F180" t="str">
        <x:v>Verificado</x:v>
      </x:c>
      <x:c r="G180" t="str"/>
      <x:c r="H180" s="32"/>
      <x:c r="I180" s="32"/>
      <x:c r="J180" s="32"/>
      <x:c r="K180" t="str">
        <x:v>Captura 8.08.14</x:v>
      </x:c>
      <x:c r="L180" t="str"/>
    </x:row>
    <x:row r="181" ht="18" customHeight="1">
      <x:c r="A181" t="n">
        <x:v>180</x:v>
      </x:c>
      <x:c r="B181" t="str">
        <x:v>Hidrolavador 2 Baterias Compresor Mini</x:v>
      </x:c>
      <x:c r="C181" t="str">
        <x:v>Tecnología</x:v>
      </x:c>
      <x:c r="D181" t="str">
        <x:v>Hidrolavadora / compresor</x:v>
      </x:c>
      <x:c r="E181" t="str"/>
      <x:c r="F181" t="str">
        <x:v>Verificado</x:v>
      </x:c>
      <x:c r="G181" t="str"/>
      <x:c r="H181" s="32"/>
      <x:c r="I181" s="32"/>
      <x:c r="J181" s="32"/>
      <x:c r="K181" t="str">
        <x:v>Captura 8.08.14</x:v>
      </x:c>
      <x:c r="L181" t="str"/>
    </x:row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</x:sheetData>
  <x:pageMargins left="0.7" right="0.7" top="0.75" bottom="0.75" header="0.3" footer="0.3"/>
  <x:tableParts count="1">
    <x:tablePart xmlns:r="http://schemas.openxmlformats.org/officeDocument/2006/relationships" r:id="R494649f1d6cd4c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12.25" hidden="0" customWidth="1"/>
    <x:col min="3" max="3" width="24" hidden="0" customWidth="1"/>
    <x:col min="4" max="4" width="7.130000114440918" hidden="0" customWidth="1"/>
    <x:col min="5" max="5" width="14.399999618530273" hidden="0" customWidth="1"/>
    <x:col min="6" max="6" width="25.56999969482422" hidden="0" customWidth="1"/>
    <x:col min="7" max="7" width="14.130000114440918" hidden="0" customWidth="1"/>
    <x:col min="8" max="8" width="13.859999656677246" hidden="0" customWidth="1"/>
    <x:col min="9" max="9" width="8.75" hidden="0" customWidth="1"/>
    <x:col min="10" max="10" width="16.690000534057617" hidden="0" customWidth="1"/>
    <x:col min="11" max="11" width="15.210000038146973" hidden="0" customWidth="1"/>
    <x:col min="12" max="12" width="16.549999237060547" hidden="0" customWidth="1"/>
    <x:col min="13" max="13" width="32.16999816894531" hidden="0" customWidth="1"/>
    <x:col min="14" max="14" width="13.460000038146973" hidden="0" customWidth="1"/>
    <x:col min="15" max="15" width="13.729999542236328" hidden="0" customWidth="1"/>
    <x:col min="16" max="16" width="24.6299991607666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38" hidden="0" customWidth="1"/>
    <x:col min="28" max="28" width="38" hidden="0" customWidth="1"/>
  </x:cols>
  <x:sheetData>
    <x:row r="1" ht="18" customHeight="1">
      <x:c r="A1" s="44" t="str">
        <x:v>#</x:v>
      </x:c>
      <x:c r="B1" s="44" t="str">
        <x:v>ID producto</x:v>
      </x:c>
      <x:c r="C1" s="44" t="str">
        <x:v>Producto</x:v>
      </x:c>
      <x:c r="D1" s="44" t="str">
        <x:v>SKU</x:v>
      </x:c>
      <x:c r="E1" s="44" t="str">
        <x:v>Categoría final</x:v>
      </x:c>
      <x:c r="F1" s="44" t="str">
        <x:v>Categoría visible plataforma</x:v>
      </x:c>
      <x:c r="G1" s="44" t="str">
        <x:v>Tipo producto</x:v>
      </x:c>
      <x:c r="H1" s="44" t="str">
        <x:v>Disponible en</x:v>
      </x:c>
      <x:c r="I1" s="44" t="str">
        <x:v>Bodega</x:v>
      </x:c>
      <x:c r="J1" s="44" t="str">
        <x:v>Precio proveedor</x:v>
      </x:c>
      <x:c r="K1" s="44" t="str">
        <x:v>Precio sugerido</x:v>
      </x:c>
      <x:c r="L1" s="44" t="str">
        <x:v>Diferencia precio</x:v>
      </x:c>
      <x:c r="M1" s="44" t="str">
        <x:v>% margen sugerido sobre proveedor</x:v>
      </x:c>
      <x:c r="N1" s="44" t="str">
        <x:v>Stock público</x:v>
      </x:c>
      <x:c r="O1" s="44" t="str">
        <x:v>Stock privado</x:v>
      </x:c>
      <x:c r="P1" s="44" t="str">
        <x:v>Cantidad imágenes visibles</x:v>
      </x:c>
      <x:c r="Q1" s="44" t="str">
        <x:v>Tiene descripción</x:v>
      </x:c>
      <x:c r="R1" s="44" t="str">
        <x:v>Descripción excede screenshot</x:v>
      </x:c>
      <x:c r="S1" s="44" t="str">
        <x:v>Tipo descripción</x:v>
      </x:c>
      <x:c r="T1" s="44" t="str">
        <x:v>Beneficios visibles</x:v>
      </x:c>
      <x:c r="U1" s="44" t="str">
        <x:v>Modo de uso visible</x:v>
      </x:c>
      <x:c r="V1" s="44" t="str">
        <x:v>Especificaciones visibles</x:v>
      </x:c>
      <x:c r="W1" s="44" t="str">
        <x:v>Garantías visibles</x:v>
      </x:c>
      <x:c r="X1" s="44" t="str">
        <x:v>Recursos adicionales visibles</x:v>
      </x:c>
      <x:c r="Y1" s="44" t="str">
        <x:v>Texto genérico repetido</x:v>
      </x:c>
      <x:c r="Z1" s="44" t="str">
        <x:v>Texto mal renderizado / JSON</x:v>
      </x:c>
      <x:c r="AA1" s="44" t="str">
        <x:v>Observación cruda</x:v>
      </x:c>
      <x:c r="AB1" s="44" t="str">
        <x:v>Fuente screenshot</x:v>
      </x:c>
    </x:row>
    <x:row r="2" ht="18" customHeight="1">
      <x:c r="A2" s="14" t="n">
        <x:v>1</x:v>
      </x:c>
      <x:c r="B2" s="14" t="str">
        <x:v>1853618</x:v>
      </x:c>
      <x:c r="C2" s="14" t="str">
        <x:v>Destornilladorraches46mini Luz Llavero</x:v>
      </x:c>
      <x:c r="D2" s="14" t="str">
        <x:v>sd</x:v>
      </x:c>
      <x:c r="E2" s="14" t="str">
        <x:v>Tecnología</x:v>
      </x:c>
      <x:c r="F2" s="14" t="str">
        <x:v>Tecnología</x:v>
      </x:c>
      <x:c r="G2" s="14" t="str">
        <x:v>Simple</x:v>
      </x:c>
      <x:c r="H2" s="14" t="str">
        <x:v>Bogotá</x:v>
      </x:c>
      <x:c r="I2" s="14" t="str">
        <x:v>BOGOTA</x:v>
      </x:c>
      <x:c r="J2" s="43" t="n">
        <x:v>47800</x:v>
      </x:c>
      <x:c r="K2" s="43" t="n">
        <x:v>65000</x:v>
      </x:c>
      <x:c r="L2" s="43" t="n">
        <x:f>K2-J2</x:f>
        <x:v>17200</x:v>
      </x:c>
      <x:c r="M2" s="37" t="n">
        <x:f>IFERROR(L2/J2,0)</x:f>
        <x:v>0.3598326359832636</x:v>
      </x:c>
      <x:c r="N2" s="14" t="n">
        <x:v>239</x:v>
      </x:c>
      <x:c r="O2" s="14" t="n">
        <x:v>0</x:v>
      </x:c>
      <x:c r="P2" s="14" t="n">
        <x:v>1</x:v>
      </x:c>
      <x:c r="Q2" s="14" t="str">
        <x:v>Sí</x:v>
      </x:c>
      <x:c r="R2" s="14" t="str">
        <x:v>No</x:v>
      </x:c>
      <x:c r="S2" s="14" t="str">
        <x:v>Muy corta / nombre del producto</x:v>
      </x:c>
      <x:c r="T2" s="14" t="str">
        <x:v>No visible</x:v>
      </x:c>
      <x:c r="U2" s="14" t="str">
        <x:v>No visible</x:v>
      </x:c>
      <x:c r="V2" s="14" t="str">
        <x:v>No visible</x:v>
      </x:c>
      <x:c r="W2" s="14" t="str">
        <x:v>Pestaña visible, no abierta</x:v>
      </x:c>
      <x:c r="X2" s="14" t="str">
        <x:v>Pestaña visible, no abierta</x:v>
      </x:c>
      <x:c r="Y2" s="14" t="str">
        <x:v>No</x:v>
      </x:c>
      <x:c r="Z2" s="14" t="str">
        <x:v>No</x:v>
      </x:c>
      <x:c r="AA2" s="14" t="str">
        <x:v>Detalle visible con descripción corta: 'Destornillador+raches46+mini luz llavero'.</x:v>
      </x:c>
      <x:c r="AB2" s="14" t="str">
        <x:v>Captura 2026-05-29 8.43.00 a.m.</x:v>
      </x:c>
    </x:row>
    <x:row r="3" ht="18" customHeight="1">
      <x:c r="A3" s="14" t="n">
        <x:v>2</x:v>
      </x:c>
      <x:c r="B3" s="14" t="str">
        <x:v>922499</x:v>
      </x:c>
      <x:c r="C3" s="14" t="str">
        <x:v>Secador De Pelo Nova</x:v>
      </x:c>
      <x:c r="D3" s="14" t="str">
        <x:v>fa</x:v>
      </x:c>
      <x:c r="E3" s="14" t="str">
        <x:v>Belleza</x:v>
      </x:c>
      <x:c r="F3" s="14" t="str">
        <x:v>Belleza</x:v>
      </x:c>
      <x:c r="G3" s="14" t="str">
        <x:v>Simple</x:v>
      </x:c>
      <x:c r="H3" s="14" t="str">
        <x:v>Bogotá</x:v>
      </x:c>
      <x:c r="I3" s="14" t="str">
        <x:v>BOGOTA</x:v>
      </x:c>
      <x:c r="J3" s="43" t="n">
        <x:v>21900</x:v>
      </x:c>
      <x:c r="K3" s="43" t="n">
        <x:v>28000</x:v>
      </x:c>
      <x:c r="L3" s="43" t="n">
        <x:f>K3-J3</x:f>
        <x:v>6100</x:v>
      </x:c>
      <x:c r="M3" s="37" t="n">
        <x:f>IFERROR(L3/J3,0)</x:f>
        <x:v>0.2785388127853881</x:v>
      </x:c>
      <x:c r="N3" s="14" t="n">
        <x:v>479</x:v>
      </x:c>
      <x:c r="O3" s="14" t="n">
        <x:v>0</x:v>
      </x:c>
      <x:c r="P3" s="14" t="n">
        <x:v>4</x:v>
      </x:c>
      <x:c r="Q3" s="14" t="str">
        <x:v>Sí</x:v>
      </x:c>
      <x:c r="R3" s="14" t="str">
        <x:v>No</x:v>
      </x:c>
      <x:c r="S3" s="14" t="str">
        <x:v>Específica producto</x:v>
      </x:c>
      <x:c r="T3" s="14" t="str">
        <x:v>Sí</x:v>
      </x:c>
      <x:c r="U3" s="14" t="str">
        <x:v>No visible</x:v>
      </x:c>
      <x:c r="V3" s="14" t="str">
        <x:v>Sí</x:v>
      </x:c>
      <x:c r="W3" s="14" t="str">
        <x:v>Pestaña visible, no abierta</x:v>
      </x:c>
      <x:c r="X3" s="14" t="str">
        <x:v>Pestaña visible, no abierta</x:v>
      </x:c>
      <x:c r="Y3" s="14" t="str">
        <x:v>No</x:v>
      </x:c>
      <x:c r="Z3" s="14" t="str">
        <x:v>No</x:v>
      </x:c>
      <x:c r="AA3" s="14" t="str">
        <x:v>Descripción visible con potencia, cuidado del cabello y referencia a 300W.</x:v>
      </x:c>
      <x:c r="AB3" s="14" t="str">
        <x:v>Captura 2026-05-29 8.42.54 a.m.</x:v>
      </x:c>
    </x:row>
    <x:row r="4" ht="18" customHeight="1">
      <x:c r="A4" s="14" t="n">
        <x:v>3</x:v>
      </x:c>
      <x:c r="B4" s="14" t="str">
        <x:v>2082907</x:v>
      </x:c>
      <x:c r="C4" s="14" t="str">
        <x:v>Rodillera Termica Rodillera Ortopedica</x:v>
      </x:c>
      <x:c r="D4" s="14" t="str"/>
      <x:c r="E4" s="14" t="str">
        <x:v>Bienestar</x:v>
      </x:c>
      <x:c r="F4" s="14" t="str">
        <x:v>Salud</x:v>
      </x:c>
      <x:c r="G4" s="14" t="str">
        <x:v>Simple</x:v>
      </x:c>
      <x:c r="H4" s="14" t="str">
        <x:v>Bogotá</x:v>
      </x:c>
      <x:c r="I4" s="14" t="str">
        <x:v>BOGOTA</x:v>
      </x:c>
      <x:c r="J4" s="43" t="n">
        <x:v>27900</x:v>
      </x:c>
      <x:c r="K4" s="43" t="n">
        <x:v>37900</x:v>
      </x:c>
      <x:c r="L4" s="43" t="n">
        <x:f>K4-J4</x:f>
        <x:v>10000</x:v>
      </x:c>
      <x:c r="M4" s="37" t="n">
        <x:f>IFERROR(L4/J4,0)</x:f>
        <x:v>0.35842293906810035</x:v>
      </x:c>
      <x:c r="N4" s="14" t="n">
        <x:v>243</x:v>
      </x:c>
      <x:c r="O4" s="14" t="n">
        <x:v>0</x:v>
      </x:c>
      <x:c r="P4" s="14" t="n">
        <x:v>3</x:v>
      </x:c>
      <x:c r="Q4" s="14" t="str">
        <x:v>Sí</x:v>
      </x:c>
      <x:c r="R4" s="14" t="str">
        <x:v>No</x:v>
      </x:c>
      <x:c r="S4" s="14" t="str">
        <x:v>Muy corta / nombre del producto</x:v>
      </x:c>
      <x:c r="T4" s="14" t="str">
        <x:v>No visible</x:v>
      </x:c>
      <x:c r="U4" s="14" t="str">
        <x:v>No visible</x:v>
      </x:c>
      <x:c r="V4" s="14" t="str">
        <x:v>No visible</x:v>
      </x:c>
      <x:c r="W4" s="14" t="str">
        <x:v>Pestaña visible, no abierta</x:v>
      </x:c>
      <x:c r="X4" s="14" t="str">
        <x:v>Pestaña visible, no abierta</x:v>
      </x:c>
      <x:c r="Y4" s="14" t="str">
        <x:v>No</x:v>
      </x:c>
      <x:c r="Z4" s="14" t="str">
        <x:v>No</x:v>
      </x:c>
      <x:c r="AA4" s="14" t="str">
        <x:v>Detalle visible con descripción corta: 'Rodillera Térmica Eléctrica + Rodillera'.</x:v>
      </x:c>
      <x:c r="AB4" s="14" t="str">
        <x:v>Captura 2026-05-29 8.42.50 a.m.</x:v>
      </x:c>
    </x:row>
    <x:row r="5" ht="18" customHeight="1">
      <x:c r="A5" s="14" t="n">
        <x:v>4</x:v>
      </x:c>
      <x:c r="B5" s="14" t="str">
        <x:v>2027218</x:v>
      </x:c>
      <x:c r="C5" s="14" t="str">
        <x:v>Kit X6 Moldes Silicona Para Airfyer</x:v>
      </x:c>
      <x:c r="D5" s="14" t="str"/>
      <x:c r="E5" s="14" t="str">
        <x:v>Cocina</x:v>
      </x:c>
      <x:c r="F5" s="14" t="str">
        <x:v>Cocina</x:v>
      </x:c>
      <x:c r="G5" s="14" t="str">
        <x:v>Simple</x:v>
      </x:c>
      <x:c r="H5" s="14" t="str">
        <x:v>Bogotá</x:v>
      </x:c>
      <x:c r="I5" s="14" t="str">
        <x:v>BOGOTA</x:v>
      </x:c>
      <x:c r="J5" s="43" t="n">
        <x:v>8900</x:v>
      </x:c>
      <x:c r="K5" s="43" t="n">
        <x:v>12000</x:v>
      </x:c>
      <x:c r="L5" s="43" t="n">
        <x:f>K5-J5</x:f>
        <x:v>3100</x:v>
      </x:c>
      <x:c r="M5" s="37" t="n">
        <x:f>IFERROR(L5/J5,0)</x:f>
        <x:v>0.34831460674157305</x:v>
      </x:c>
      <x:c r="N5" s="14" t="n">
        <x:v>42</x:v>
      </x:c>
      <x:c r="O5" s="14" t="n">
        <x:v>0</x:v>
      </x:c>
      <x:c r="P5" s="14" t="n">
        <x:v>3</x:v>
      </x:c>
      <x:c r="Q5" s="14" t="str">
        <x:v>Sí</x:v>
      </x:c>
      <x:c r="R5" s="14" t="str">
        <x:v>No</x:v>
      </x:c>
      <x:c r="S5" s="14" t="str">
        <x:v>Muy corta / logística/color</x:v>
      </x:c>
      <x:c r="T5" s="14" t="str">
        <x:v>No visible</x:v>
      </x:c>
      <x:c r="U5" s="14" t="str">
        <x:v>No visible</x:v>
      </x:c>
      <x:c r="V5" s="14" t="str">
        <x:v>No visible</x:v>
      </x:c>
      <x:c r="W5" s="14" t="str">
        <x:v>Pestaña visible, no abierta</x:v>
      </x:c>
      <x:c r="X5" s="14" t="str">
        <x:v>Pestaña visible, no abierta</x:v>
      </x:c>
      <x:c r="Y5" s="14" t="str">
        <x:v>No</x:v>
      </x:c>
      <x:c r="Z5" s="14" t="str">
        <x:v>No</x:v>
      </x:c>
      <x:c r="AA5" s="14" t="str">
        <x:v>Detalle visible con nota: 'el color se envia aleatorio'.</x:v>
      </x:c>
      <x:c r="AB5" s="14" t="str">
        <x:v>Captura 2026-05-29 8.42.45 a.m.</x:v>
      </x:c>
    </x:row>
    <x:row r="6" ht="18" customHeight="1">
      <x:c r="A6" s="14" t="n">
        <x:v>5</x:v>
      </x:c>
      <x:c r="B6" s="14" t="str">
        <x:v>1846210</x:v>
      </x:c>
      <x:c r="C6" s="14" t="str">
        <x:v>Repuesto De Filtro Purificador De Agua</x:v>
      </x:c>
      <x:c r="D6" s="14" t="str">
        <x:v>wte</x:v>
      </x:c>
      <x:c r="E6" s="14" t="str">
        <x:v>Hogar</x:v>
      </x:c>
      <x:c r="F6" s="14" t="str">
        <x:v>Tecnología</x:v>
      </x:c>
      <x:c r="G6" s="14" t="str">
        <x:v>Simple</x:v>
      </x:c>
      <x:c r="H6" s="14" t="str">
        <x:v>Bogotá</x:v>
      </x:c>
      <x:c r="I6" s="14" t="str">
        <x:v>BOGOTA</x:v>
      </x:c>
      <x:c r="J6" s="36" t="n">
        <x:v>9900</x:v>
      </x:c>
      <x:c r="K6" s="36" t="n">
        <x:v>15000</x:v>
      </x:c>
      <x:c r="L6" s="36" t="n">
        <x:v>5100</x:v>
      </x:c>
      <x:c r="M6" s="37" t="n">
        <x:v>0.5151515151515151</x:v>
      </x:c>
      <x:c r="N6" s="14" t="n">
        <x:v>446</x:v>
      </x:c>
      <x:c r="O6" s="14" t="n">
        <x:v>0</x:v>
      </x:c>
      <x:c r="P6" s="14" t="n">
        <x:v>3</x:v>
      </x:c>
      <x:c r="Q6" s="14" t="str">
        <x:v>Sí</x:v>
      </x:c>
      <x:c r="R6" s="14" t="str">
        <x:v>No</x:v>
      </x:c>
      <x:c r="S6" s="14" t="str">
        <x:v>Específica producto</x:v>
      </x:c>
      <x:c r="T6" s="14" t="str">
        <x:v>Sí</x:v>
      </x:c>
      <x:c r="U6" s="14" t="str">
        <x:v>No visible</x:v>
      </x:c>
      <x:c r="V6" s="14" t="str">
        <x:v>Sí</x:v>
      </x:c>
      <x:c r="W6" s="14" t="str">
        <x:v>Sí</x:v>
      </x:c>
      <x:c r="X6" s="14" t="str">
        <x:v>Pestaña visible, no abierta</x:v>
      </x:c>
      <x:c r="Y6" s="14" t="str">
        <x:v>No</x:v>
      </x:c>
      <x:c r="Z6" s="14" t="str">
        <x:v>No</x:v>
      </x:c>
      <x:c r="AA6" s="14" t="str">
        <x:v>Descripción visible con referencias funcionales, características, duración aproximada del filtro y garantía del vendedor de 1 mes.</x:v>
      </x:c>
      <x:c r="AB6" s="14" t="str">
        <x:v>Captura 2026-05-29 8.42.39 a.m.</x:v>
      </x:c>
    </x:row>
    <x:row r="7" ht="18" customHeight="1">
      <x:c r="A7" s="14" t="n">
        <x:v>6</x:v>
      </x:c>
      <x:c r="B7" s="14" t="str">
        <x:v>872107</x:v>
      </x:c>
      <x:c r="C7" s="14" t="str">
        <x:v>Combo Aguacate Sd06 Secador De Pelo</x:v>
      </x:c>
      <x:c r="D7" s="14" t="str">
        <x:v>7h</x:v>
      </x:c>
      <x:c r="E7" s="14" t="str">
        <x:v>Belleza</x:v>
      </x:c>
      <x:c r="F7" s="14" t="str">
        <x:v>Belleza</x:v>
      </x:c>
      <x:c r="G7" s="14" t="str">
        <x:v>Simple</x:v>
      </x:c>
      <x:c r="H7" s="14" t="str">
        <x:v>Bogotá</x:v>
      </x:c>
      <x:c r="I7" s="14" t="str">
        <x:v>BOGOTA</x:v>
      </x:c>
      <x:c r="J7" s="36" t="n">
        <x:v>73900</x:v>
      </x:c>
      <x:c r="K7" s="36" t="n">
        <x:v>90000</x:v>
      </x:c>
      <x:c r="L7" s="36" t="n">
        <x:v>16100</x:v>
      </x:c>
      <x:c r="M7" s="37" t="n">
        <x:v>0.2178619756427605</x:v>
      </x:c>
      <x:c r="N7" s="14" t="n">
        <x:v>505</x:v>
      </x:c>
      <x:c r="O7" s="14" t="n">
        <x:v>0</x:v>
      </x:c>
      <x:c r="P7" s="14" t="n">
        <x:v>4</x:v>
      </x:c>
      <x:c r="Q7" s="14" t="str">
        <x:v>Sí</x:v>
      </x:c>
      <x:c r="R7" s="14" t="str">
        <x:v>No</x:v>
      </x:c>
      <x:c r="S7" s="14" t="str">
        <x:v>Específica producto / garantía</x:v>
      </x:c>
      <x:c r="T7" s="14" t="str">
        <x:v>Sí</x:v>
      </x:c>
      <x:c r="U7" s="14" t="str">
        <x:v>No visible</x:v>
      </x:c>
      <x:c r="V7" s="14" t="str">
        <x:v>Sí</x:v>
      </x:c>
      <x:c r="W7" s="14" t="str">
        <x:v>Sí</x:v>
      </x:c>
      <x:c r="X7" s="14" t="str">
        <x:v>Pestaña visible, no abierta</x:v>
      </x:c>
      <x:c r="Y7" s="14" t="str">
        <x:v>No</x:v>
      </x:c>
      <x:c r="Z7" s="14" t="str">
        <x:v>No</x:v>
      </x:c>
      <x:c r="AA7" s="14" t="str">
        <x:v>Descripción incluye combo, restricción logística: no despachar por TC, garantía de 3 meses por defectos de fabricación y condiciones de devolución.</x:v>
      </x:c>
      <x:c r="AB7" s="14" t="str">
        <x:v>Captura 2026-05-29 8.42.35 a.m.</x:v>
      </x:c>
    </x:row>
    <x:row r="8" ht="18" customHeight="1">
      <x:c r="A8" s="14" t="n">
        <x:v>7</x:v>
      </x:c>
      <x:c r="B8" s="14" t="str">
        <x:v>1932419</x:v>
      </x:c>
      <x:c r="C8" s="14" t="str">
        <x:v>Parlante 8 25w Con Microfono</x:v>
      </x:c>
      <x:c r="D8" s="14" t="str">
        <x:v>ZC</x:v>
      </x:c>
      <x:c r="E8" s="14" t="str">
        <x:v>Tecnología</x:v>
      </x:c>
      <x:c r="F8" s="14" t="str">
        <x:v>Tecnología</x:v>
      </x:c>
      <x:c r="G8" s="14" t="str">
        <x:v>Simple</x:v>
      </x:c>
      <x:c r="H8" s="14" t="str">
        <x:v>Bogotá</x:v>
      </x:c>
      <x:c r="I8" s="14" t="str">
        <x:v>BOGOTA</x:v>
      </x:c>
      <x:c r="J8" s="36" t="n">
        <x:v>49900</x:v>
      </x:c>
      <x:c r="K8" s="36" t="n">
        <x:v>60000</x:v>
      </x:c>
      <x:c r="L8" s="36" t="n">
        <x:v>10100</x:v>
      </x:c>
      <x:c r="M8" s="37" t="n">
        <x:v>0.20240480961923848</x:v>
      </x:c>
      <x:c r="N8" s="14" t="n">
        <x:v>69</x:v>
      </x:c>
      <x:c r="O8" s="14" t="n">
        <x:v>0</x:v>
      </x:c>
      <x:c r="P8" s="14" t="n">
        <x:v>3</x:v>
      </x:c>
      <x:c r="Q8" s="14" t="str">
        <x:v>Sí</x:v>
      </x:c>
      <x:c r="R8" s="14" t="str">
        <x:v>No</x:v>
      </x:c>
      <x:c r="S8" s="14" t="str">
        <x:v>Especificaciones en lista</x:v>
      </x:c>
      <x:c r="T8" s="14" t="str">
        <x:v>Sí</x:v>
      </x:c>
      <x:c r="U8" s="14" t="str">
        <x:v>No visible</x:v>
      </x:c>
      <x:c r="V8" s="14" t="str">
        <x:v>Sí</x:v>
      </x:c>
      <x:c r="W8" s="14" t="str">
        <x:v>Pestaña visible, no abierta</x:v>
      </x:c>
      <x:c r="X8" s="14" t="str">
        <x:v>Pestaña visible, no abierta</x:v>
      </x:c>
      <x:c r="Y8" s="14" t="str">
        <x:v>No</x:v>
      </x:c>
      <x:c r="Z8" s="14" t="str">
        <x:v>No</x:v>
      </x:c>
      <x:c r="AA8" s="14" t="str">
        <x:v>Descripción con lista de características: voltaje, bluetooth, karaoke, efectos de voz, batería recargable, potencia, micrófono y radio.</x:v>
      </x:c>
      <x:c r="AB8" s="14" t="str">
        <x:v>Captura 2026-05-29 8.42.27 a.m.</x:v>
      </x:c>
    </x:row>
    <x:row r="9" ht="18" customHeight="1">
      <x:c r="A9" s="14" t="n">
        <x:v>8</x:v>
      </x:c>
      <x:c r="B9" s="14" t="str">
        <x:v>1649137</x:v>
      </x:c>
      <x:c r="C9" s="14" t="str">
        <x:v>Hervidor De Huevos Mini Waflera</x:v>
      </x:c>
      <x:c r="D9" s="14" t="str">
        <x:v>awd</x:v>
      </x:c>
      <x:c r="E9" s="14" t="str">
        <x:v>Cocina</x:v>
      </x:c>
      <x:c r="F9" s="14" t="str">
        <x:v>Cocina</x:v>
      </x:c>
      <x:c r="G9" s="14" t="str">
        <x:v>Simple</x:v>
      </x:c>
      <x:c r="H9" s="14" t="str">
        <x:v>Bogotá</x:v>
      </x:c>
      <x:c r="I9" s="14" t="str">
        <x:v>BOGOTA</x:v>
      </x:c>
      <x:c r="J9" s="36" t="n">
        <x:v>45900</x:v>
      </x:c>
      <x:c r="K9" s="36" t="n">
        <x:v>65000</x:v>
      </x:c>
      <x:c r="L9" s="36" t="n">
        <x:v>19100</x:v>
      </x:c>
      <x:c r="M9" s="37" t="n">
        <x:v>0.41612200435729846</x:v>
      </x:c>
      <x:c r="N9" s="14" t="n">
        <x:v>247</x:v>
      </x:c>
      <x:c r="O9" s="14" t="n">
        <x:v>0</x:v>
      </x:c>
      <x:c r="P9" s="14" t="n">
        <x:v>1</x:v>
      </x:c>
      <x:c r="Q9" s="14" t="str">
        <x:v>Sí</x:v>
      </x:c>
      <x:c r="R9" s="14" t="str">
        <x:v>No</x:v>
      </x:c>
      <x:c r="S9" s="14" t="str">
        <x:v>Muy corta / nombre del producto</x:v>
      </x:c>
      <x:c r="T9" s="14" t="str">
        <x:v>No visible</x:v>
      </x:c>
      <x:c r="U9" s="14" t="str">
        <x:v>No visible</x:v>
      </x:c>
      <x:c r="V9" s="14" t="str">
        <x:v>No visible</x:v>
      </x:c>
      <x:c r="W9" s="14" t="str">
        <x:v>Pestaña visible, no abierta</x:v>
      </x:c>
      <x:c r="X9" s="14" t="str">
        <x:v>Pestaña visible, no abierta</x:v>
      </x:c>
      <x:c r="Y9" s="14" t="str">
        <x:v>No</x:v>
      </x:c>
      <x:c r="Z9" s="14" t="str">
        <x:v>No</x:v>
      </x:c>
      <x:c r="AA9" s="14" t="str">
        <x:v>Detalle visible con título descriptivo corto: 'HERVIDOR DE HUEVOS+ MINI WAFLERA'.</x:v>
      </x:c>
      <x:c r="AB9" s="14" t="str">
        <x:v>Captura 2026-05-29 8.42.23 a.m.</x:v>
      </x:c>
    </x:row>
    <x:row r="10" ht="42" customHeight="1">
      <x:c r="A10" s="14" t="n">
        <x:v>9</x:v>
      </x:c>
      <x:c r="B10" s="14" t="str">
        <x:v>1007386</x:v>
      </x:c>
      <x:c r="C10" s="14" t="str">
        <x:v>Cortador De Papas Potato Chipper</x:v>
      </x:c>
      <x:c r="D10" s="14" t="str">
        <x:v>g5</x:v>
      </x:c>
      <x:c r="E10" s="14" t="str">
        <x:v>Cocina</x:v>
      </x:c>
      <x:c r="F10" s="14" t="str">
        <x:v>Cocina, Hogar, Herramientas</x:v>
      </x:c>
      <x:c r="G10" s="14" t="str">
        <x:v>Simple</x:v>
      </x:c>
      <x:c r="H10" s="14" t="str">
        <x:v>Bogotá</x:v>
      </x:c>
      <x:c r="I10" s="14" t="str">
        <x:v>BOGOTA</x:v>
      </x:c>
      <x:c r="J10" s="43" t="n">
        <x:v>22900</x:v>
      </x:c>
      <x:c r="K10" s="43" t="n">
        <x:v>30000</x:v>
      </x:c>
      <x:c r="L10" s="43" t="n">
        <x:f>K10-J10</x:f>
        <x:v>7100</x:v>
      </x:c>
      <x:c r="M10" s="37" t="n">
        <x:f>IFERROR(L10/J10,0)</x:f>
        <x:v>0.31004366812227074</x:v>
      </x:c>
      <x:c r="N10" s="45" t="n">
        <x:v>506</x:v>
      </x:c>
      <x:c r="O10" s="45" t="n">
        <x:v>0</x:v>
      </x:c>
      <x:c r="P10" s="14" t="n">
        <x:v>3</x:v>
      </x:c>
      <x:c r="Q10" s="14" t="str">
        <x:v>Sí</x:v>
      </x:c>
      <x:c r="R10" s="14" t="str">
        <x:v>No</x:v>
      </x:c>
      <x:c r="S10" s="14" t="str">
        <x:v>Específica producto / características cortas</x:v>
      </x:c>
      <x:c r="T10" s="14" t="str">
        <x:v>Sí</x:v>
      </x:c>
      <x:c r="U10" s="14" t="str">
        <x:v>Sí</x:v>
      </x:c>
      <x:c r="V10" s="14" t="str">
        <x:v>Sí</x:v>
      </x:c>
      <x:c r="W10" s="14" t="str">
        <x:v>Pestaña visible, no abierta</x:v>
      </x:c>
      <x:c r="X10" s="14" t="str">
        <x:v>Pestaña visible, no abierta</x:v>
      </x:c>
      <x:c r="Y10" s="14" t="str">
        <x:v>No</x:v>
      </x:c>
      <x:c r="Z10" s="14" t="str">
        <x:v>No</x:v>
      </x:c>
      <x:c r="AA10" s="14" t="str">
        <x:v>Descripción visible de cortador para papa/zanahoria con modo de uso y mención de cuchillas incorporadas de 12mm y 9mm.</x:v>
      </x:c>
      <x:c r="AB10" s="14" t="str">
        <x:v>Captura 2026-05-29 8.42.19 a.m.</x:v>
      </x:c>
    </x:row>
    <x:row r="11" ht="42" customHeight="1">
      <x:c r="A11" s="14" t="n">
        <x:v>10</x:v>
      </x:c>
      <x:c r="B11" s="14" t="str">
        <x:v>164161</x:v>
      </x:c>
      <x:c r="C11" s="14" t="str">
        <x:v>Embutidor De Chorizos</x:v>
      </x:c>
      <x:c r="D11" s="14" t="str">
        <x:v>daw</x:v>
      </x:c>
      <x:c r="E11" s="14" t="str">
        <x:v>Cocina</x:v>
      </x:c>
      <x:c r="F11" s="14" t="str">
        <x:v>Cocina</x:v>
      </x:c>
      <x:c r="G11" s="14" t="str">
        <x:v>Simple</x:v>
      </x:c>
      <x:c r="H11" s="14" t="str">
        <x:v>Bogotá</x:v>
      </x:c>
      <x:c r="I11" s="14" t="str">
        <x:v>BOGOTA</x:v>
      </x:c>
      <x:c r="J11" s="43" t="n">
        <x:v>19900</x:v>
      </x:c>
      <x:c r="K11" s="43" t="n">
        <x:v>25000</x:v>
      </x:c>
      <x:c r="L11" s="43" t="n">
        <x:f>K11-J11</x:f>
        <x:v>5100</x:v>
      </x:c>
      <x:c r="M11" s="37" t="n">
        <x:f>IFERROR(L11/J11,0)</x:f>
        <x:v>0.2562814070351759</x:v>
      </x:c>
      <x:c r="N11" s="45" t="n">
        <x:v>184</x:v>
      </x:c>
      <x:c r="O11" s="45" t="n">
        <x:v>0</x:v>
      </x:c>
      <x:c r="P11" s="14" t="n">
        <x:v>3</x:v>
      </x:c>
      <x:c r="Q11" s="14" t="str">
        <x:v>Sí</x:v>
      </x:c>
      <x:c r="R11" s="14" t="str">
        <x:v>No</x:v>
      </x:c>
      <x:c r="S11" s="14" t="str">
        <x:v>Específica producto / materiales y uso</x:v>
      </x:c>
      <x:c r="T11" s="14" t="str">
        <x:v>Sí</x:v>
      </x:c>
      <x:c r="U11" s="14" t="str">
        <x:v>Sí</x:v>
      </x:c>
      <x:c r="V11" s="14" t="str">
        <x:v>Sí</x:v>
      </x:c>
      <x:c r="W11" s="14" t="str">
        <x:v>Pestaña visible, no abierta</x:v>
      </x:c>
      <x:c r="X11" s="14" t="str">
        <x:v>Pestaña visible, no abierta</x:v>
      </x:c>
      <x:c r="Y11" s="14" t="str">
        <x:v>Sí</x:v>
      </x:c>
      <x:c r="Z11" s="14" t="str">
        <x:v>No</x:v>
      </x:c>
      <x:c r="AA11" s="14" t="str">
        <x:v>Descripción visible con materiales PP y acero inoxidable 304, modo de uso, facilidad de limpieza y bloque comercial de mayorista.</x:v>
      </x:c>
      <x:c r="AB11" s="14" t="str">
        <x:v>Captura 2026-05-29 8.42.15 a.m.</x:v>
      </x:c>
    </x:row>
    <x:row r="12" ht="42" customHeight="1">
      <x:c r="A12" s="14" t="n">
        <x:v>11</x:v>
      </x:c>
      <x:c r="B12" s="14" t="str">
        <x:v>123323</x:v>
      </x:c>
      <x:c r="C12" s="14" t="str">
        <x:v>Kit De Aerografo Inalambrico Compresor</x:v>
      </x:c>
      <x:c r="D12" s="14" t="str">
        <x:v>wad</x:v>
      </x:c>
      <x:c r="E12" s="14" t="str">
        <x:v>Herramientas</x:v>
      </x:c>
      <x:c r="F12" s="14" t="str">
        <x:v>Otro</x:v>
      </x:c>
      <x:c r="G12" s="14" t="str">
        <x:v>Simple</x:v>
      </x:c>
      <x:c r="H12" s="14" t="str">
        <x:v>Bogotá</x:v>
      </x:c>
      <x:c r="I12" s="14" t="str">
        <x:v>BOGOTA</x:v>
      </x:c>
      <x:c r="J12" s="43" t="n">
        <x:v>57900</x:v>
      </x:c>
      <x:c r="K12" s="43" t="n">
        <x:v>65000</x:v>
      </x:c>
      <x:c r="L12" s="43" t="n">
        <x:f>K12-J12</x:f>
        <x:v>7100</x:v>
      </x:c>
      <x:c r="M12" s="37" t="n">
        <x:f>IFERROR(L12/J12,0)</x:f>
        <x:v>0.1226252158894646</x:v>
      </x:c>
      <x:c r="N12" s="45" t="n">
        <x:v>172</x:v>
      </x:c>
      <x:c r="O12" s="45" t="n">
        <x:v>0</x:v>
      </x:c>
      <x:c r="P12" s="14" t="n">
        <x:v>3</x:v>
      </x:c>
      <x:c r="Q12" s="14" t="str">
        <x:v>Sí</x:v>
      </x:c>
      <x:c r="R12" s="14" t="str">
        <x:v>No</x:v>
      </x:c>
      <x:c r="S12" s="14" t="str">
        <x:v>Específica producto / uso creativo</x:v>
      </x:c>
      <x:c r="T12" s="14" t="str">
        <x:v>Sí</x:v>
      </x:c>
      <x:c r="U12" s="14" t="str">
        <x:v>No visible</x:v>
      </x:c>
      <x:c r="V12" s="14" t="str">
        <x:v>Sí</x:v>
      </x:c>
      <x:c r="W12" s="14" t="str">
        <x:v>Pestaña visible, no abierta</x:v>
      </x:c>
      <x:c r="X12" s="14" t="str">
        <x:v>Pestaña visible, no abierta</x:v>
      </x:c>
      <x:c r="Y12" s="14" t="str">
        <x:v>No</x:v>
      </x:c>
      <x:c r="Z12" s="14" t="str">
        <x:v>No</x:v>
      </x:c>
      <x:c r="AA12" s="14" t="str">
        <x:v>Descripción visible del aerógrafo recargable, compacto y versátil. Indica que el color se envía aleatoriamente y menciona duración de batería/uso.</x:v>
      </x:c>
      <x:c r="AB12" s="14" t="str">
        <x:v>Captura 2026-05-29 8.42.10 a.m.</x:v>
      </x:c>
    </x:row>
    <x:row r="13" ht="42" customHeight="1">
      <x:c r="A13" s="14" t="n">
        <x:v>12</x:v>
      </x:c>
      <x:c r="B13" s="14" t="str">
        <x:v>1821077</x:v>
      </x:c>
      <x:c r="C13" s="14" t="str">
        <x:v>Pinza Rizadora De Pelo En Espiral</x:v>
      </x:c>
      <x:c r="D13" s="14" t="str">
        <x:v>NJMNJM</x:v>
      </x:c>
      <x:c r="E13" s="14" t="str">
        <x:v>Belleza</x:v>
      </x:c>
      <x:c r="F13" s="14" t="str">
        <x:v>Tecnología, Belleza</x:v>
      </x:c>
      <x:c r="G13" s="14" t="str">
        <x:v>Simple</x:v>
      </x:c>
      <x:c r="H13" s="14" t="str">
        <x:v>Bogotá</x:v>
      </x:c>
      <x:c r="I13" s="14" t="str">
        <x:v>BOGOTA</x:v>
      </x:c>
      <x:c r="J13" s="43" t="n">
        <x:v>13900</x:v>
      </x:c>
      <x:c r="K13" s="43" t="n">
        <x:v>15000</x:v>
      </x:c>
      <x:c r="L13" s="43" t="n">
        <x:f>K13-J13</x:f>
        <x:v>1100</x:v>
      </x:c>
      <x:c r="M13" s="37" t="n">
        <x:f>IFERROR(L13/J13,0)</x:f>
        <x:v>0.07913669064748201</x:v>
      </x:c>
      <x:c r="N13" s="45" t="n">
        <x:v>217</x:v>
      </x:c>
      <x:c r="O13" s="45" t="n">
        <x:v>0</x:v>
      </x:c>
      <x:c r="P13" s="14" t="n">
        <x:v>3</x:v>
      </x:c>
      <x:c r="Q13" s="14" t="str">
        <x:v>Sí</x:v>
      </x:c>
      <x:c r="R13" s="14" t="str">
        <x:v>No</x:v>
      </x:c>
      <x:c r="S13" s="14" t="str">
        <x:v>Especificaciones en lista</x:v>
      </x:c>
      <x:c r="T13" s="14" t="str">
        <x:v>Sí</x:v>
      </x:c>
      <x:c r="U13" s="14" t="str">
        <x:v>Sí</x:v>
      </x:c>
      <x:c r="V13" s="14" t="str">
        <x:v>Sí</x:v>
      </x:c>
      <x:c r="W13" s="14" t="str">
        <x:v>Pestaña visible, no abierta</x:v>
      </x:c>
      <x:c r="X13" s="14" t="str">
        <x:v>Pestaña visible, no abierta</x:v>
      </x:c>
      <x:c r="Y13" s="14" t="str">
        <x:v>No</x:v>
      </x:c>
      <x:c r="Z13" s="14" t="str">
        <x:v>No</x:v>
      </x:c>
      <x:c r="AA13" s="14" t="str">
        <x:v>Descripción visible en lista con beneficios de rizado, acceso rápido, dirección de giro y protección de quemaduras.</x:v>
      </x:c>
      <x:c r="AB13" s="14" t="str">
        <x:v>Captura 2026-05-29 8.42.06 a.m.</x:v>
      </x:c>
    </x:row>
    <x:row r="14" ht="18" customHeight="1">
      <x:c r="A14" s="14" t="n">
        <x:v>13</x:v>
      </x:c>
      <x:c r="B14" s="14" t="str">
        <x:v>1861229</x:v>
      </x:c>
      <x:c r="C14" s="14" t="str">
        <x:v>Medias Altas Compresion Mejor Circulacio</x:v>
      </x:c>
      <x:c r="D14" s="14" t="str">
        <x:v>dsf</x:v>
      </x:c>
      <x:c r="E14" s="14" t="str">
        <x:v>Bienestar</x:v>
      </x:c>
      <x:c r="F14" s="14" t="str">
        <x:v>Salud</x:v>
      </x:c>
      <x:c r="G14" s="14" t="str">
        <x:v>Simple</x:v>
      </x:c>
      <x:c r="H14" s="14" t="str">
        <x:v>Bogotá</x:v>
      </x:c>
      <x:c r="I14" s="14" t="str">
        <x:v>BOGOTA</x:v>
      </x:c>
      <x:c r="J14" s="36" t="n">
        <x:v>6900</x:v>
      </x:c>
      <x:c r="K14" s="36" t="n">
        <x:v>12000</x:v>
      </x:c>
      <x:c r="L14" s="36" t="n">
        <x:v>5100</x:v>
      </x:c>
      <x:c r="M14" s="37" t="n">
        <x:v>0.7391304347826086</x:v>
      </x:c>
      <x:c r="N14" s="36" t="n">
        <x:v>815</x:v>
      </x:c>
      <x:c r="O14" s="36" t="n">
        <x:v>0</x:v>
      </x:c>
      <x:c r="P14" s="14" t="n">
        <x:v>3</x:v>
      </x:c>
      <x:c r="Q14" s="14" t="str">
        <x:v>Sí</x:v>
      </x:c>
      <x:c r="R14" s="14" t="str">
        <x:v>No</x:v>
      </x:c>
      <x:c r="S14" s="14" t="str">
        <x:v>Muy corta / nombre del producto</x:v>
      </x:c>
      <x:c r="T14" s="14" t="str">
        <x:v>No visible</x:v>
      </x:c>
      <x:c r="U14" s="14" t="str">
        <x:v>No visible</x:v>
      </x:c>
      <x:c r="V14" s="14" t="str">
        <x:v>No visible</x:v>
      </x:c>
      <x:c r="W14" s="14" t="str">
        <x:v>Pestaña visible, no abierta</x:v>
      </x:c>
      <x:c r="X14" s="14" t="str">
        <x:v>Pestaña visible, no abierta</x:v>
      </x:c>
      <x:c r="Y14" s="14" t="str">
        <x:v>No</x:v>
      </x:c>
      <x:c r="Z14" s="14" t="str">
        <x:v>No</x:v>
      </x:c>
      <x:c r="AA14" s="14" t="str">
        <x:v>Detalle visible con descripción corta: 'Medias Altas Compresión Mejor Circulació'.</x:v>
      </x:c>
      <x:c r="AB14" s="14" t="str">
        <x:v>Captura 2026-05-29 8.42.02 a.m.</x:v>
      </x:c>
    </x:row>
    <x:row r="15" ht="18" customHeight="1">
      <x:c r="A15" s="14" t="n">
        <x:v>14</x:v>
      </x:c>
      <x:c r="B15" s="14" t="str">
        <x:v>1225289</x:v>
      </x:c>
      <x:c r="C15" s="14" t="str">
        <x:v>Cinturon Para Colicos Calambres Resfriad</x:v>
      </x:c>
      <x:c r="D15" s="14" t="str">
        <x:v>e5</x:v>
      </x:c>
      <x:c r="E15" s="14" t="str">
        <x:v>Bienestar</x:v>
      </x:c>
      <x:c r="F15" s="14" t="str">
        <x:v>Salud</x:v>
      </x:c>
      <x:c r="G15" s="14" t="str">
        <x:v>Simple</x:v>
      </x:c>
      <x:c r="H15" s="14" t="str">
        <x:v>Bogotá</x:v>
      </x:c>
      <x:c r="I15" s="14" t="str">
        <x:v>BOGOTA</x:v>
      </x:c>
      <x:c r="J15" s="36" t="n">
        <x:v>19900</x:v>
      </x:c>
      <x:c r="K15" s="36" t="n">
        <x:v>30000</x:v>
      </x:c>
      <x:c r="L15" s="36" t="n">
        <x:v>10100</x:v>
      </x:c>
      <x:c r="M15" s="37" t="n">
        <x:v>0.507537688442211</x:v>
      </x:c>
      <x:c r="N15" s="36" t="n">
        <x:v>178</x:v>
      </x:c>
      <x:c r="O15" s="36" t="n">
        <x:v>0</x:v>
      </x:c>
      <x:c r="P15" s="14" t="n">
        <x:v>3</x:v>
      </x:c>
      <x:c r="Q15" s="14" t="str">
        <x:v>Sí</x:v>
      </x:c>
      <x:c r="R15" s="14" t="str">
        <x:v>Sí</x:v>
      </x:c>
      <x:c r="S15" s="14" t="str">
        <x:v>Descripción extensa / especificaciones en bloque</x:v>
      </x:c>
      <x:c r="T15" s="14" t="str">
        <x:v>Sí</x:v>
      </x:c>
      <x:c r="U15" s="14" t="str">
        <x:v>No visible</x:v>
      </x:c>
      <x:c r="V15" s="14" t="str">
        <x:v>Sí</x:v>
      </x:c>
      <x:c r="W15" s="14" t="str">
        <x:v>Pestaña visible, no abierta</x:v>
      </x:c>
      <x:c r="X15" s="14" t="str">
        <x:v>Pestaña visible, no abierta</x:v>
      </x:c>
      <x:c r="Y15" s="14" t="str">
        <x:v>No</x:v>
      </x:c>
      <x:c r="Z15" s="14" t="str">
        <x:v>No</x:v>
      </x:c>
      <x:c r="AA15" s="14" t="str">
        <x:v>Descripción visible con bloque extenso sobre control, vibración, temperatura, calentamiento rápido, chip de seguridad, velocidades, masaje de vibración y contenido del paquete.</x:v>
      </x:c>
      <x:c r="AB15" s="14" t="str">
        <x:v>Captura 2026-05-29 8.41.55 a.m.</x:v>
      </x:c>
    </x:row>
    <x:row r="16" ht="18" customHeight="1">
      <x:c r="A16" s="14" t="n">
        <x:v>15</x:v>
      </x:c>
      <x:c r="B16" s="14" t="str">
        <x:v>1648684</x:v>
      </x:c>
      <x:c r="C16" s="14" t="str">
        <x:v>Corrector De Postura Espalda</x:v>
      </x:c>
      <x:c r="D16" s="14" t="str">
        <x:v>q2</x:v>
      </x:c>
      <x:c r="E16" s="14" t="str">
        <x:v>Bienestar</x:v>
      </x:c>
      <x:c r="F16" s="14" t="str">
        <x:v>Salud</x:v>
      </x:c>
      <x:c r="G16" s="14" t="str">
        <x:v>Simple</x:v>
      </x:c>
      <x:c r="H16" s="14" t="str">
        <x:v>Bogotá</x:v>
      </x:c>
      <x:c r="I16" s="14" t="str">
        <x:v>BOGOTA</x:v>
      </x:c>
      <x:c r="J16" s="36" t="n">
        <x:v>19900</x:v>
      </x:c>
      <x:c r="K16" s="36" t="n">
        <x:v>25000</x:v>
      </x:c>
      <x:c r="L16" s="36" t="n">
        <x:v>5100</x:v>
      </x:c>
      <x:c r="M16" s="37" t="n">
        <x:v>0.2562814070351759</x:v>
      </x:c>
      <x:c r="N16" s="36" t="n">
        <x:v>241</x:v>
      </x:c>
      <x:c r="O16" s="36" t="n">
        <x:v>0</x:v>
      </x:c>
      <x:c r="P16" s="14" t="n">
        <x:v>2</x:v>
      </x:c>
      <x:c r="Q16" s="14" t="str">
        <x:v>Sí</x:v>
      </x:c>
      <x:c r="R16" s="14" t="str">
        <x:v>No</x:v>
      </x:c>
      <x:c r="S16" s="14" t="str">
        <x:v>Descripción extensa / educativa</x:v>
      </x:c>
      <x:c r="T16" s="14" t="str">
        <x:v>Sí</x:v>
      </x:c>
      <x:c r="U16" s="14" t="str">
        <x:v>No visible</x:v>
      </x:c>
      <x:c r="V16" s="14" t="str">
        <x:v>Sí</x:v>
      </x:c>
      <x:c r="W16" s="14" t="str">
        <x:v>Pestaña visible, no abierta</x:v>
      </x:c>
      <x:c r="X16" s="14" t="str">
        <x:v>Pestaña visible, no abierta</x:v>
      </x:c>
      <x:c r="Y16" s="14" t="str">
        <x:v>No</x:v>
      </x:c>
      <x:c r="Z16" s="14" t="str">
        <x:v>No</x:v>
      </x:c>
      <x:c r="AA16" s="14" t="str">
        <x:v>Descripción visible extensa sobre postura corporal, uso en contexto de trabajo sedentario y 5 razones para cuidar la postura.</x:v>
      </x:c>
      <x:c r="AB16" s="14" t="str">
        <x:v>Captura 2026-05-29 8.41.51 a.m.</x:v>
      </x:c>
    </x:row>
    <x:row r="17" ht="18" customHeight="1">
      <x:c r="A17" s="14" t="n">
        <x:v>17</x:v>
      </x:c>
      <x:c r="B17" s="14" t="str">
        <x:v>2129148</x:v>
      </x:c>
      <x:c r="C17" s="14" t="str">
        <x:v>Rizador Plancha Agua Secador Cepillo</x:v>
      </x:c>
      <x:c r="D17" s="14"/>
      <x:c r="E17" s="14" t="str">
        <x:v>Belleza</x:v>
      </x:c>
      <x:c r="F17" s="14" t="str">
        <x:v>Tecnología</x:v>
      </x:c>
      <x:c r="G17" s="14" t="str">
        <x:v>Simple</x:v>
      </x:c>
      <x:c r="H17" s="14" t="str">
        <x:v>Bogotá</x:v>
      </x:c>
      <x:c r="I17" s="14" t="str">
        <x:v>BOGOTA</x:v>
      </x:c>
      <x:c r="J17" s="36" t="n">
        <x:v>94900</x:v>
      </x:c>
      <x:c r="K17" s="36" t="n">
        <x:v>110000</x:v>
      </x:c>
      <x:c r="L17" s="36" t="n">
        <x:v>15100</x:v>
      </x:c>
      <x:c r="M17" s="37" t="n">
        <x:v>0.15911485774499473</x:v>
      </x:c>
      <x:c r="N17" s="36" t="n">
        <x:v>163</x:v>
      </x:c>
      <x:c r="O17" s="36" t="n">
        <x:v>0</x:v>
      </x:c>
      <x:c r="P17" s="14" t="n">
        <x:v>4</x:v>
      </x:c>
      <x:c r="Q17" s="14" t="str">
        <x:v>Sí</x:v>
      </x:c>
      <x:c r="R17" s="14" t="str">
        <x:v>No</x:v>
      </x:c>
      <x:c r="S17" s="14" t="str">
        <x:v>Muy corta / combo</x:v>
      </x:c>
      <x:c r="T17" s="14" t="str">
        <x:v>No visible</x:v>
      </x:c>
      <x:c r="U17" s="14" t="str">
        <x:v>No visible</x:v>
      </x:c>
      <x:c r="V17" s="14" t="str">
        <x:v>No visible</x:v>
      </x:c>
      <x:c r="W17" s="14" t="str">
        <x:v>Pestaña visible, no abierta</x:v>
      </x:c>
      <x:c r="X17" s="14" t="str">
        <x:v>Pestaña visible, no abierta</x:v>
      </x:c>
      <x:c r="Y17" s="14" t="str">
        <x:v>No</x:v>
      </x:c>
      <x:c r="Z17" s="14" t="str">
        <x:v>No</x:v>
      </x:c>
      <x:c r="AA17" s="14" t="str">
        <x:v>Detalle visible con descripción corta: 'Combo, rizador + plancha + secador + cepillo'.</x:v>
      </x:c>
      <x:c r="AB17" s="14" t="str">
        <x:v>Captura 2026-05-29 8.41.43 a.m.</x:v>
      </x:c>
    </x:row>
    <x:row r="18" ht="18" customHeight="1">
      <x:c r="A18" s="14" t="n">
        <x:v>18</x:v>
      </x:c>
      <x:c r="B18" s="14" t="str">
        <x:v>2154309</x:v>
      </x:c>
      <x:c r="C18" s="14" t="str">
        <x:v>Bingo Macrooutlet Clasico Juego De Mesa</x:v>
      </x:c>
      <x:c r="D18" s="14"/>
      <x:c r="E18" s="14" t="str">
        <x:v>Juguetería</x:v>
      </x:c>
      <x:c r="F18" s="14" t="str">
        <x:v>Bienestar</x:v>
      </x:c>
      <x:c r="G18" s="14" t="str">
        <x:v>Simple</x:v>
      </x:c>
      <x:c r="H18" s="14" t="str">
        <x:v>Bogotá</x:v>
      </x:c>
      <x:c r="I18" s="14" t="str">
        <x:v>BOGOTA</x:v>
      </x:c>
      <x:c r="J18" s="36" t="n">
        <x:v>49900</x:v>
      </x:c>
      <x:c r="K18" s="36" t="n">
        <x:v>60000</x:v>
      </x:c>
      <x:c r="L18" s="36" t="n">
        <x:v>10100</x:v>
      </x:c>
      <x:c r="M18" s="37" t="n">
        <x:v>0.20240480961923857</x:v>
      </x:c>
      <x:c r="N18" s="36" t="n">
        <x:v>250</x:v>
      </x:c>
      <x:c r="O18" s="36" t="n">
        <x:v>0</x:v>
      </x:c>
      <x:c r="P18" s="14" t="n">
        <x:v>3</x:v>
      </x:c>
      <x:c r="Q18" s="14" t="str">
        <x:v>Sí</x:v>
      </x:c>
      <x:c r="R18" s="14" t="str">
        <x:v>No</x:v>
      </x:c>
      <x:c r="S18" s="14" t="str">
        <x:v>Específica producto / contenido del juego</x:v>
      </x:c>
      <x:c r="T18" s="14" t="str">
        <x:v>Sí</x:v>
      </x:c>
      <x:c r="U18" s="14" t="str">
        <x:v>No visible</x:v>
      </x:c>
      <x:c r="V18" s="14" t="str">
        <x:v>Sí</x:v>
      </x:c>
      <x:c r="W18" s="14" t="str">
        <x:v>Pestaña visible, no abierta</x:v>
      </x:c>
      <x:c r="X18" s="14" t="str">
        <x:v>Pestaña visible, no abierta</x:v>
      </x:c>
      <x:c r="Y18" s="14" t="str">
        <x:v>No</x:v>
      </x:c>
      <x:c r="Z18" s="14" t="str">
        <x:v>No</x:v>
      </x:c>
      <x:c r="AA18" s="14" t="str">
        <x:v>Descripción visible en viñetas: ideal para grupos grandes, hasta 18 jugadores; incluye 18 tarjetas y 75 balotas numeradas de plástico.</x:v>
      </x:c>
      <x:c r="AB18" s="14" t="str">
        <x:v>Captura 2026-05-29 8.41.39 a.m.</x:v>
      </x:c>
    </x:row>
    <x:row r="19" ht="18" customHeight="1">
      <x:c r="A19" s="14" t="n">
        <x:v>19</x:v>
      </x:c>
      <x:c r="B19" s="14" t="str">
        <x:v>898197</x:v>
      </x:c>
      <x:c r="C19" s="14" t="str">
        <x:v>Chocolatera Fundidora De Chocolate</x:v>
      </x:c>
      <x:c r="D19" s="14" t="str">
        <x:v>2/7</x:v>
      </x:c>
      <x:c r="E19" s="14" t="str">
        <x:v>Cocina</x:v>
      </x:c>
      <x:c r="F19" s="14" t="str">
        <x:v>Cocina, Hogar</x:v>
      </x:c>
      <x:c r="G19" s="14" t="str">
        <x:v>Simple</x:v>
      </x:c>
      <x:c r="H19" s="14" t="str">
        <x:v>Bogotá</x:v>
      </x:c>
      <x:c r="I19" s="14" t="str">
        <x:v>BOGOTA</x:v>
      </x:c>
      <x:c r="J19" s="36" t="n">
        <x:v>24900</x:v>
      </x:c>
      <x:c r="K19" s="36" t="n">
        <x:v>30000</x:v>
      </x:c>
      <x:c r="L19" s="36" t="n">
        <x:v>5100</x:v>
      </x:c>
      <x:c r="M19" s="37" t="n">
        <x:v>0.20481927710843384</x:v>
      </x:c>
      <x:c r="N19" s="36" t="n">
        <x:v>211</x:v>
      </x:c>
      <x:c r="O19" s="36" t="n">
        <x:v>0</x:v>
      </x:c>
      <x:c r="P19" s="14" t="n">
        <x:v>5</x:v>
      </x:c>
      <x:c r="Q19" s="14" t="str">
        <x:v>Sí</x:v>
      </x:c>
      <x:c r="R19" s="14" t="str">
        <x:v>No</x:v>
      </x:c>
      <x:c r="S19" s="14" t="str">
        <x:v>Específica producto / contenido incluido</x:v>
      </x:c>
      <x:c r="T19" s="14" t="str">
        <x:v>Sí</x:v>
      </x:c>
      <x:c r="U19" s="14" t="str">
        <x:v>No visible</x:v>
      </x:c>
      <x:c r="V19" s="14" t="str">
        <x:v>Sí</x:v>
      </x:c>
      <x:c r="W19" s="14" t="str">
        <x:v>Pestaña visible, no abierta</x:v>
      </x:c>
      <x:c r="X19" s="14" t="str">
        <x:v>Pestaña visible, no abierta</x:v>
      </x:c>
      <x:c r="Y19" s="14" t="str">
        <x:v>No</x:v>
      </x:c>
      <x:c r="Z19" s="14" t="str">
        <x:v>No</x:v>
      </x:c>
      <x:c r="AA19" s="14" t="str">
        <x:v>Descripción visible de máquina eléctrica chocolatera con moldes para bombones. Incluye lista de accesorios, manual, moldes y potencia de 15W.</x:v>
      </x:c>
      <x:c r="AB19" s="14" t="str">
        <x:v>Captura 2026-05-29 8.41.34 a.m.</x:v>
      </x:c>
    </x:row>
    <x:row r="20" ht="18" customHeight="1">
      <x:c r="A20" s="14" t="n">
        <x:v>19</x:v>
      </x:c>
      <x:c r="B20" s="14"/>
      <x:c r="C20" s="14"/>
      <x:c r="D20" s="14"/>
      <x:c r="E20" s="14"/>
      <x:c r="F20" s="14"/>
      <x:c r="G20" s="14"/>
      <x:c r="H20" s="14"/>
      <x:c r="I20" s="14"/>
      <x:c r="J20" s="36"/>
      <x:c r="K20" s="36"/>
      <x:c r="L20" s="36" t="str">
        <x:f>IF(OR(J20="",K20=""),"",K20-J20)</x:f>
      </x:c>
      <x:c r="M20" s="37" t="str">
        <x:f>IF(OR(J20="",K20=""),"",K20/J20-1)</x:f>
      </x:c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</x:row>
    <x:row r="21" ht="18" customHeight="1">
      <x:c r="A21" s="14" t="n">
        <x:v>20</x:v>
      </x:c>
      <x:c r="B21" s="14"/>
      <x:c r="C21" s="14"/>
      <x:c r="D21" s="14"/>
      <x:c r="E21" s="14"/>
      <x:c r="F21" s="14"/>
      <x:c r="G21" s="14"/>
      <x:c r="H21" s="14"/>
      <x:c r="I21" s="14"/>
      <x:c r="J21" s="36"/>
      <x:c r="K21" s="36"/>
      <x:c r="L21" s="36" t="str">
        <x:f>IF(OR(J21="",K21=""),"",K21-J21)</x:f>
      </x:c>
      <x:c r="M21" s="37" t="str">
        <x:f>IF(OR(J21="",K21=""),"",K21/J21-1)</x:f>
      </x:c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</x:row>
    <x:row r="22" ht="18" customHeight="1">
      <x:c r="A22" s="14" t="n">
        <x:v>21</x:v>
      </x:c>
      <x:c r="B22" s="14"/>
      <x:c r="C22" s="14"/>
      <x:c r="D22" s="14"/>
      <x:c r="E22" s="14"/>
      <x:c r="F22" s="14"/>
      <x:c r="G22" s="14"/>
      <x:c r="H22" s="14"/>
      <x:c r="I22" s="14"/>
      <x:c r="J22" s="36"/>
      <x:c r="K22" s="36"/>
      <x:c r="L22" s="36" t="str">
        <x:f>IF(OR(J22="",K22=""),"",K22-J22)</x:f>
      </x:c>
      <x:c r="M22" s="37" t="str">
        <x:f>IF(OR(J22="",K22=""),"",K22/J22-1)</x:f>
      </x:c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</x:row>
    <x:row r="23" ht="18" customHeight="1">
      <x:c r="A23" s="14" t="n">
        <x:v>22</x:v>
      </x:c>
      <x:c r="B23" s="14"/>
      <x:c r="C23" s="14"/>
      <x:c r="D23" s="14"/>
      <x:c r="E23" s="14"/>
      <x:c r="F23" s="14"/>
      <x:c r="G23" s="14"/>
      <x:c r="H23" s="14"/>
      <x:c r="I23" s="14"/>
      <x:c r="J23" s="36"/>
      <x:c r="K23" s="36"/>
      <x:c r="L23" s="36" t="str">
        <x:f>IF(OR(J23="",K23=""),"",K23-J23)</x:f>
      </x:c>
      <x:c r="M23" s="37" t="str">
        <x:f>IF(OR(J23="",K23=""),"",K23/J23-1)</x:f>
      </x:c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</x:row>
    <x:row r="24" ht="18" customHeight="1">
      <x:c r="A24" s="14" t="n">
        <x:v>23</x:v>
      </x:c>
      <x:c r="B24" s="14"/>
      <x:c r="C24" s="14"/>
      <x:c r="D24" s="14"/>
      <x:c r="E24" s="14"/>
      <x:c r="F24" s="14"/>
      <x:c r="G24" s="14"/>
      <x:c r="H24" s="14"/>
      <x:c r="I24" s="14"/>
      <x:c r="J24" s="36"/>
      <x:c r="K24" s="36"/>
      <x:c r="L24" s="36" t="str">
        <x:f>IF(OR(J24="",K24=""),"",K24-J24)</x:f>
      </x:c>
      <x:c r="M24" s="37" t="str">
        <x:f>IF(OR(J24="",K24=""),"",K24/J24-1)</x:f>
      </x:c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</x:row>
    <x:row r="25" ht="18" customHeight="1">
      <x:c r="A25" s="14" t="n">
        <x:v>24</x:v>
      </x:c>
      <x:c r="B25" s="14"/>
      <x:c r="C25" s="14"/>
      <x:c r="D25" s="14"/>
      <x:c r="E25" s="14"/>
      <x:c r="F25" s="14"/>
      <x:c r="G25" s="14"/>
      <x:c r="H25" s="14"/>
      <x:c r="I25" s="14"/>
      <x:c r="J25" s="36"/>
      <x:c r="K25" s="36"/>
      <x:c r="L25" s="36" t="str">
        <x:f>IF(OR(J25="",K25=""),"",K25-J25)</x:f>
      </x:c>
      <x:c r="M25" s="37" t="str">
        <x:f>IF(OR(J25="",K25=""),"",K25/J25-1)</x:f>
      </x:c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</x:row>
    <x:row r="26" ht="18" customHeight="1">
      <x:c r="A26" s="14" t="n">
        <x:v>25</x:v>
      </x:c>
      <x:c r="B26" s="14"/>
      <x:c r="C26" s="14"/>
      <x:c r="D26" s="14"/>
      <x:c r="E26" s="14"/>
      <x:c r="F26" s="14"/>
      <x:c r="G26" s="14"/>
      <x:c r="H26" s="14"/>
      <x:c r="I26" s="14"/>
      <x:c r="J26" s="36"/>
      <x:c r="K26" s="36"/>
      <x:c r="L26" s="36" t="str">
        <x:f>IF(OR(J26="",K26=""),"",K26-J26)</x:f>
      </x:c>
      <x:c r="M26" s="37" t="str">
        <x:f>IF(OR(J26="",K26=""),"",K26/J26-1)</x:f>
      </x:c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</x:row>
    <x:row r="27" ht="18" customHeight="1">
      <x:c r="A27" s="14" t="n">
        <x:v>26</x:v>
      </x:c>
      <x:c r="B27" s="14"/>
      <x:c r="C27" s="14"/>
      <x:c r="D27" s="14"/>
      <x:c r="E27" s="14"/>
      <x:c r="F27" s="14"/>
      <x:c r="G27" s="14"/>
      <x:c r="H27" s="14"/>
      <x:c r="I27" s="14"/>
      <x:c r="J27" s="36"/>
      <x:c r="K27" s="36"/>
      <x:c r="L27" s="36" t="str">
        <x:f>IF(OR(J27="",K27=""),"",K27-J27)</x:f>
      </x:c>
      <x:c r="M27" s="37" t="str">
        <x:f>IF(OR(J27="",K27=""),"",K27/J27-1)</x:f>
      </x:c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</x:row>
    <x:row r="28" ht="18" customHeight="1">
      <x:c r="A28" s="14" t="n">
        <x:v>27</x:v>
      </x:c>
      <x:c r="B28" s="14"/>
      <x:c r="C28" s="14"/>
      <x:c r="D28" s="14"/>
      <x:c r="E28" s="14"/>
      <x:c r="F28" s="14"/>
      <x:c r="G28" s="14"/>
      <x:c r="H28" s="14"/>
      <x:c r="I28" s="14"/>
      <x:c r="J28" s="36"/>
      <x:c r="K28" s="36"/>
      <x:c r="L28" s="36" t="str">
        <x:f>IF(OR(J28="",K28=""),"",K28-J28)</x:f>
      </x:c>
      <x:c r="M28" s="37" t="str">
        <x:f>IF(OR(J28="",K28=""),"",K28/J28-1)</x:f>
      </x:c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</x:row>
    <x:row r="29" ht="18" customHeight="1">
      <x:c r="A29" s="14" t="n">
        <x:v>28</x:v>
      </x:c>
      <x:c r="B29" s="14"/>
      <x:c r="C29" s="14"/>
      <x:c r="D29" s="14"/>
      <x:c r="E29" s="14"/>
      <x:c r="F29" s="14"/>
      <x:c r="G29" s="14"/>
      <x:c r="H29" s="14"/>
      <x:c r="I29" s="14"/>
      <x:c r="J29" s="36"/>
      <x:c r="K29" s="36"/>
      <x:c r="L29" s="36" t="str">
        <x:f>IF(OR(J29="",K29=""),"",K29-J29)</x:f>
      </x:c>
      <x:c r="M29" s="37" t="str">
        <x:f>IF(OR(J29="",K29=""),"",K29/J29-1)</x:f>
      </x:c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</x:row>
    <x:row r="30" ht="18" customHeight="1">
      <x:c r="A30" s="14" t="n">
        <x:v>29</x:v>
      </x:c>
      <x:c r="B30" s="14"/>
      <x:c r="C30" s="14"/>
      <x:c r="D30" s="14"/>
      <x:c r="E30" s="14"/>
      <x:c r="F30" s="14"/>
      <x:c r="G30" s="14"/>
      <x:c r="H30" s="14"/>
      <x:c r="I30" s="14"/>
      <x:c r="J30" s="36"/>
      <x:c r="K30" s="36"/>
      <x:c r="L30" s="36" t="str">
        <x:f>IF(OR(J30="",K30=""),"",K30-J30)</x:f>
      </x:c>
      <x:c r="M30" s="37" t="str">
        <x:f>IF(OR(J30="",K30=""),"",K30/J30-1)</x:f>
      </x:c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</x:row>
    <x:row r="31" ht="18" customHeight="1">
      <x:c r="A31" s="14" t="n">
        <x:v>30</x:v>
      </x:c>
      <x:c r="B31" s="14"/>
      <x:c r="C31" s="14"/>
      <x:c r="D31" s="14"/>
      <x:c r="E31" s="14"/>
      <x:c r="F31" s="14"/>
      <x:c r="G31" s="14"/>
      <x:c r="H31" s="14"/>
      <x:c r="I31" s="14"/>
      <x:c r="J31" s="36"/>
      <x:c r="K31" s="36"/>
      <x:c r="L31" s="36" t="str">
        <x:f>IF(OR(J31="",K31=""),"",K31-J31)</x:f>
      </x:c>
      <x:c r="M31" s="37" t="str">
        <x:f>IF(OR(J31="",K31=""),"",K31/J31-1)</x:f>
      </x:c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</x:row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</x:sheetData>
  <x:pageMargins left="0.7" right="0.7" top="0.75" bottom="0.75" header="0.3" footer="0.3"/>
  <x:tableParts count="1">
    <x:tablePart xmlns:r="http://schemas.openxmlformats.org/officeDocument/2006/relationships" r:id="R2a117a717b954b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55" hidden="0" customWidth="1"/>
  </x:cols>
  <x:sheetData>
    <x:row r="1" ht="18" customHeight="1">
      <x:c r="A1" s="28" t="str">
        <x:v>Dato faltante</x:v>
      </x:c>
      <x:c r="B1" s="28" t="str">
        <x:v>Estado</x:v>
      </x:c>
      <x:c r="C1" s="28" t="str">
        <x:v>Por qué importa</x:v>
      </x:c>
      <x:c r="D1" s="28" t="str">
        <x:v>Pregunta para Data / BI</x:v>
      </x:c>
    </x:row>
    <x:row r="2" ht="18" customHeight="1">
      <x:c r="A2" t="str">
        <x:v>Productos privados / no visibles</x:v>
      </x:c>
      <x:c r="B2" t="str">
        <x:v>No disponible en revisión manual</x:v>
      </x:c>
      <x:c r="C2" t="str">
        <x:v>Saber si el catálogo total visible coincide con los productos del sistema.</x:v>
      </x:c>
      <x:c r="D2" t="str">
        <x:v>De los 684 productos del supplier, ¿cuántos son públicos visibles, privados, inactivos, agotados o despublicados?</x:v>
      </x:c>
    </x:row>
    <x:row r="3" ht="18" customHeight="1">
      <x:c r="A3" t="str">
        <x:v>Órdenes por producto</x:v>
      </x:c>
      <x:c r="B3" t="str">
        <x:v>No disponible</x:v>
      </x:c>
      <x:c r="C3" t="str">
        <x:v>Identificar productos estrella vs productos sin tracción.</x:v>
      </x:c>
      <x:c r="D3" t="str">
        <x:v>¿Cuáles son los productos con más órdenes históricas y recientes?</x:v>
      </x:c>
    </x:row>
    <x:row r="4" ht="18" customHeight="1">
      <x:c r="A4" t="str">
        <x:v>GMV por producto</x:v>
      </x:c>
      <x:c r="B4" t="str">
        <x:v>No disponible</x:v>
      </x:c>
      <x:c r="C4" t="str">
        <x:v>Medir valor generado, no solo cantidad de órdenes.</x:v>
      </x:c>
      <x:c r="D4" t="str">
        <x:v>¿Cuánto GMV genera cada producto y categoría?</x:v>
      </x:c>
    </x:row>
    <x:row r="5" ht="18" customHeight="1">
      <x:c r="A5" t="str">
        <x:v>Productos con 0 órdenes</x:v>
      </x:c>
      <x:c r="B5" t="str">
        <x:v>No disponible</x:v>
      </x:c>
      <x:c r="C5" t="str">
        <x:v>Medir ruido o catálogo dormido.</x:v>
      </x:c>
      <x:c r="D5" t="str">
        <x:v>¿Cuántos productos nunca han vendido?</x:v>
      </x:c>
    </x:row>
    <x:row r="6" ht="18" customHeight="1">
      <x:c r="A6" t="str">
        <x:v>Fecha de creación del producto</x:v>
      </x:c>
      <x:c r="B6" t="str">
        <x:v>No disponible</x:v>
      </x:c>
      <x:c r="C6" t="str">
        <x:v>Calcular tiempo a primera orden.</x:v>
      </x:c>
      <x:c r="D6" t="str">
        <x:v>¿Cuándo se creó cada producto y cuándo tuvo su primera orden?</x:v>
      </x:c>
    </x:row>
    <x:row r="7" ht="18" customHeight="1">
      <x:c r="A7" t="str">
        <x:v>Stock histórico</x:v>
      </x:c>
      <x:c r="B7" t="str">
        <x:v>No disponible</x:v>
      </x:c>
      <x:c r="C7" t="str">
        <x:v>Detectar quiebres de stock o disponibilidad real.</x:v>
      </x:c>
      <x:c r="D7" t="str">
        <x:v>¿Qué productos han tenido rupturas de stock?</x:v>
      </x:c>
    </x:row>
    <x:row r="8" ht="18" customHeight="1">
      <x:c r="A8" t="str">
        <x:v>Cancelaciones por producto</x:v>
      </x:c>
      <x:c r="B8" t="str">
        <x:v>No disponible</x:v>
      </x:c>
      <x:c r="C8" t="str">
        <x:v>Conectar catálogo con cumplimiento.</x:v>
      </x:c>
      <x:c r="D8" t="str">
        <x:v>¿Qué productos concentran cancelaciones?</x:v>
      </x:c>
    </x:row>
    <x:row r="9" ht="18" customHeight="1">
      <x:c r="A9" t="str">
        <x:v>Devoluciones / reclamos por producto</x:v>
      </x:c>
      <x:c r="B9" t="str">
        <x:v>No disponible</x:v>
      </x:c>
      <x:c r="C9" t="str">
        <x:v>Entender riesgo de postventa.</x:v>
      </x:c>
      <x:c r="D9" t="str">
        <x:v>¿Qué productos o categorías generan más reclamos?</x:v>
      </x:c>
    </x:row>
    <x:row r="10" ht="18" customHeight="1">
      <x:c r="A10" t="str">
        <x:v>Visitas / clics / envíos a cliente</x:v>
      </x:c>
      <x:c r="B10" t="str">
        <x:v>No disponible</x:v>
      </x:c>
      <x:c r="C10" t="str">
        <x:v>Detectar interés sin conversión.</x:v>
      </x:c>
      <x:c r="D10" t="str">
        <x:v>¿Qué productos tienen alto interés pero baja venta?</x:v>
      </x:c>
    </x:row>
    <x:row r="11" ht="18" customHeight="1">
      <x:c r="A11" t="str">
        <x:v>Calidad de contenido a escala</x:v>
      </x:c>
      <x:c r="B11" t="str">
        <x:v>Parcial manual</x:v>
      </x:c>
      <x:c r="C11" t="str">
        <x:v>Medir completitud de fichas de todo el catálogo.</x:v>
      </x:c>
      <x:c r="D11" t="str">
        <x:v>¿Qué % tiene imágenes, descripción, especificaciones y recursos?</x:v>
      </x:c>
    </x:row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</x:sheetData>
  <x:pageMargins left="0.7" right="0.7" top="0.75" bottom="0.75" header="0.3" footer="0.3"/>
  <x:tableParts count="1">
    <x:tablePart xmlns:r="http://schemas.openxmlformats.org/officeDocument/2006/relationships" r:id="R3c9e972cb4d841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</x:cols>
  <x:sheetData>
    <x:row r="1" ht="18" customHeight="1">
      <x:c r="A1" s="40" t="str">
        <x:v>Categoría final</x:v>
      </x:c>
      <x:c r="B1" s="40" t="str">
        <x:v>Productos en muestra</x:v>
      </x:c>
      <x:c r="C1" s="40" t="str">
        <x:v>% de muestra</x:v>
      </x:c>
    </x:row>
    <x:row r="2" ht="18" customHeight="1">
      <x:c r="A2" t="str">
        <x:v>Hogar</x:v>
      </x:c>
      <x:c r="B2" t="n">
        <x:v>37</x:v>
      </x:c>
      <x:c r="C2" s="34" t="n">
        <x:f>B2/180</x:f>
        <x:v>0.20555555555555555</x:v>
      </x:c>
    </x:row>
    <x:row r="3" ht="18" customHeight="1">
      <x:c r="A3" t="str">
        <x:v>Tecnología</x:v>
      </x:c>
      <x:c r="B3" t="n">
        <x:v>36</x:v>
      </x:c>
      <x:c r="C3" s="34" t="n">
        <x:f>B3/180</x:f>
        <x:v>0.2</x:v>
      </x:c>
    </x:row>
    <x:row r="4" ht="18" customHeight="1">
      <x:c r="A4" t="str">
        <x:v>Cocina</x:v>
      </x:c>
      <x:c r="B4" t="n">
        <x:v>26</x:v>
      </x:c>
      <x:c r="C4" s="34" t="n">
        <x:f>B4/180</x:f>
        <x:v>0.14444444444444443</x:v>
      </x:c>
    </x:row>
    <x:row r="5" ht="18" customHeight="1">
      <x:c r="A5" t="str">
        <x:v>Belleza</x:v>
      </x:c>
      <x:c r="B5" t="n">
        <x:v>20</x:v>
      </x:c>
      <x:c r="C5" s="34" t="n">
        <x:f>B5/180</x:f>
        <x:v>0.1111111111111111</x:v>
      </x:c>
    </x:row>
    <x:row r="6" ht="18" customHeight="1">
      <x:c r="A6" t="str">
        <x:v>Bienestar</x:v>
      </x:c>
      <x:c r="B6" t="n">
        <x:v>13</x:v>
      </x:c>
      <x:c r="C6" s="34" t="n">
        <x:f>B6/180</x:f>
        <x:v>0.07222222222222222</x:v>
      </x:c>
    </x:row>
    <x:row r="7" ht="18" customHeight="1">
      <x:c r="A7" t="str">
        <x:v>Herramientas</x:v>
      </x:c>
      <x:c r="B7" t="n">
        <x:v>11</x:v>
      </x:c>
      <x:c r="C7" s="34" t="n">
        <x:f>B7/180</x:f>
        <x:v>0.06111111111111111</x:v>
      </x:c>
    </x:row>
    <x:row r="8" ht="18" customHeight="1">
      <x:c r="A8" t="str">
        <x:v>Juguetería</x:v>
      </x:c>
      <x:c r="B8" t="n">
        <x:v>10</x:v>
      </x:c>
      <x:c r="C8" s="34" t="n">
        <x:f>B8/180</x:f>
        <x:v>0.05555555555555555</x:v>
      </x:c>
    </x:row>
    <x:row r="9" ht="18" customHeight="1">
      <x:c r="A9" t="str">
        <x:v>Deportes</x:v>
      </x:c>
      <x:c r="B9" t="n">
        <x:v>8</x:v>
      </x:c>
      <x:c r="C9" s="34" t="n">
        <x:f>B9/180</x:f>
        <x:v>0.044444444444444446</x:v>
      </x:c>
    </x:row>
    <x:row r="10" ht="18" customHeight="1">
      <x:c r="A10" t="str">
        <x:v>Salud</x:v>
      </x:c>
      <x:c r="B10" t="n">
        <x:v>7</x:v>
      </x:c>
      <x:c r="C10" s="34" t="n">
        <x:f>B10/180</x:f>
        <x:v>0.03888888888888889</x:v>
      </x:c>
    </x:row>
    <x:row r="11" ht="18" customHeight="1">
      <x:c r="A11" t="str">
        <x:v>Mascotas</x:v>
      </x:c>
      <x:c r="B11" t="n">
        <x:v>6</x:v>
      </x:c>
      <x:c r="C11" s="34" t="n">
        <x:f>B11/180</x:f>
        <x:v>0.03333333333333333</x:v>
      </x:c>
    </x:row>
    <x:row r="12" ht="18" customHeight="1">
      <x:c r="A12" t="str">
        <x:v>Bebé</x:v>
      </x:c>
      <x:c r="B12" t="n">
        <x:v>3</x:v>
      </x:c>
      <x:c r="C12" s="34" t="n">
        <x:f>B12/180</x:f>
        <x:v>0.016666666666666666</x:v>
      </x:c>
    </x:row>
    <x:row r="13" ht="18" customHeight="1">
      <x:c r="A13" t="str">
        <x:v>Vehículos</x:v>
      </x:c>
      <x:c r="B13" t="n">
        <x:v>2</x:v>
      </x:c>
      <x:c r="C13" s="34" t="n">
        <x:f>B13/180</x:f>
        <x:v>0.011111111111111112</x:v>
      </x:c>
    </x:row>
    <x:row r="14" ht="18" customHeight="1">
      <x:c r="A14" t="str">
        <x:v>Defensa Personal</x:v>
      </x:c>
      <x:c r="B14" t="n">
        <x:v>1</x:v>
      </x:c>
      <x:c r="C14" s="34" t="n">
        <x:f>B14/180</x:f>
        <x:v>0.005555555555555556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</x:sheetData>
  <x:pageMargins left="0.7" right="0.7" top="0.75" bottom="0.75" header="0.3" footer="0.3"/>
  <x:drawing xmlns:r="http://schemas.openxmlformats.org/officeDocument/2006/relationships" r:id="Rb78ff24d63e04833"/>
  <x:tableParts count="1">
    <x:tablePart xmlns:r="http://schemas.openxmlformats.org/officeDocument/2006/relationships" r:id="Rafa9091c6f5e490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18" customHeight="1">
      <x:c r="A1" s="4" t="str">
        <x:v>Lectura PM</x:v>
      </x:c>
      <x:c r="B1" s="4" t="str">
        <x:v>TUCOLTIENDA</x:v>
      </x:c>
    </x:row>
    <x:row r="2" ht="18" customHeight="1">
      <x:c r="A2" s="10" t="str">
        <x:v>Estado de análisis</x:v>
      </x:c>
      <x:c r="B2" s="14" t="str">
        <x:v>Detalle iniciado</x:v>
      </x:c>
    </x:row>
    <x:row r="3" ht="18" customHeight="1">
      <x:c r="A3" s="10" t="str">
        <x:v>Clasificación preliminar</x:v>
      </x:c>
      <x:c r="B3" s="14" t="str">
        <x:v>Generalista multcategoría / productos de oportunidad</x:v>
      </x:c>
    </x:row>
    <x:row r="4" ht="18" customHeight="1">
      <x:c r="A4" s="10" t="str">
        <x:v>Datos base</x:v>
      </x:c>
      <x:c r="B4" s="14" t="str">
        <x:v>684 productos visibles en perfil, 276.835 órdenes, 4.962 dropshippers, despacho 5 h, estado Verificado.</x:v>
      </x:c>
    </x:row>
    <x:row r="5" ht="18" customHeight="1">
      <x:c r="A5" s="10" t="str">
        <x:v>Composición visible</x:v>
      </x:c>
      <x:c r="B5" s="14" t="str">
        <x:v>Muestra manual con presencia de Hogar, Tecnología, Belleza, Cocina, Bienestar, Herramientas, Juguetería, Salud, Mascotas, Bebé, Deportes y Vehículos.</x:v>
      </x:c>
    </x:row>
    <x:row r="6" ht="18" customHeight="1">
      <x:c r="A6" s="10" t="str">
        <x:v>Señal operativa visible</x:v>
      </x:c>
      <x:c r="B6" s="14" t="str">
        <x:v>Calificación óptima: envía rápido, cumple y responde bien. Postventa con muy pocos reclamos y atención rápida.</x:v>
      </x:c>
    </x:row>
    <x:row r="7" ht="18" customHeight="1">
      <x:c r="A7" s="10" t="str">
        <x:v>Pendiente antes de lectura PM final</x:v>
      </x:c>
      <x:c r="B7" s="14" t="str">
        <x:v>Capturar muestra de detalle de productos para validar imágenes, descripción, especificaciones, garantías, recursos, stock privado y texto mal renderizado.</x:v>
      </x:c>
    </x:row>
    <x:row r="8" ht="18" customHeight="1">
      <x:c r="A8" s="10" t="str">
        <x:v>Nota metodológica</x:v>
      </x:c>
      <x:c r="B8" s="14" t="str">
        <x:v>No se compara aún contra GOLDBOX, OSHOP, ADMA o Andrey hasta tener la muestra de detalle del producto.</x:v>
      </x:c>
    </x:row>
    <x:row r="9" ht="18" customHeight="1">
      <x:c r="A9" t="str">
        <x:v>Detalle capturado</x:v>
      </x:c>
      <x:c r="B9" t="str">
        <x:v>19 productos revisados: tecnología/herramientas, belleza, bienestar/salud, cocina, hogar, juguetes/juegos de mesa y productos tipo combo.</x:v>
      </x:c>
    </x:row>
    <x:row r="10" ht="18" customHeight="1">
      <x:c r="A10" t="str">
        <x:v>Señales crudas de contenido</x:v>
      </x:c>
      <x:c r="B10" t="str">
        <x:v>Se observan descripciones mixtas: productos con contenido muy corto, productos con especificaciones claras, productos con garantía/restricciones logísticas visibles, productos con información de materiales/modo de uso y productos de bienestar con contenido extenso.</x:v>
      </x:c>
    </x:row>
    <x:row r="11" ht="18" customHeight="1">
      <x:c r="A11" t="str">
        <x:v>Pendiente</x:v>
      </x:c>
      <x:c r="B11" t="str">
        <x:v>Continuar captura de detalle hasta completar muestra suficiente antes de lectura PM final.</x:v>
      </x:c>
    </x:row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18" customHeight="1">
      <x:c r="A1" s="27" t="str">
        <x:v>Campo</x:v>
      </x:c>
      <x:c r="B1" s="27" t="str">
        <x:v>Definición</x:v>
      </x:c>
    </x:row>
    <x:row r="2" ht="18" customHeight="1">
      <x:c r="A2" t="str">
        <x:v>Producto visible</x:v>
      </x:c>
      <x:c r="B2" t="str">
        <x:v>Nombre tal como se captura del pantallazo del catálogo visible.</x:v>
      </x:c>
    </x:row>
    <x:row r="3" ht="18" customHeight="1">
      <x:c r="A3" t="str">
        <x:v>Categoría final</x:v>
      </x:c>
      <x:c r="B3" t="str">
        <x:v>Categoría interpretada a partir del nombre del producto y/o categoría visible.</x:v>
      </x:c>
    </x:row>
    <x:row r="4" ht="18" customHeight="1">
      <x:c r="A4" t="str">
        <x:v>Subcategoría interpretada</x:v>
      </x:c>
      <x:c r="B4" t="str">
        <x:v>Lectura más granular del tipo de producto.</x:v>
      </x:c>
    </x:row>
    <x:row r="5" ht="18" customHeight="1">
      <x:c r="A5" t="str">
        <x:v>Categoría visible plataforma</x:v>
      </x:c>
      <x:c r="B5" t="str">
        <x:v>Categoría que aparezca explícitamente en la card del producto, si fue capturada.</x:v>
      </x:c>
    </x:row>
    <x:row r="6" ht="18" customHeight="1">
      <x:c r="A6" t="str">
        <x:v>Etiqueta visible</x:v>
      </x:c>
      <x:c r="B6" t="str">
        <x:v>Etiqueta del proveedor o producto: Verificado, Premium, Exclusivo, etc.</x:v>
      </x:c>
    </x:row>
    <x:row r="7" ht="18" customHeight="1">
      <x:c r="A7" t="str">
        <x:v>Tipo visible</x:v>
      </x:c>
      <x:c r="B7" t="str">
        <x:v>Simple / Variable si se ve en la card o detalle.</x:v>
      </x:c>
    </x:row>
    <x:row r="8" ht="18" customHeight="1">
      <x:c r="A8" t="str">
        <x:v>Stock visible</x:v>
      </x:c>
      <x:c r="B8" t="str">
        <x:v>Stock observado en la card o detalle. En lote puede quedar vacío si no se transcribió.</x:v>
      </x:c>
    </x:row>
    <x:row r="9" ht="18" customHeight="1">
      <x:c r="A9" t="str">
        <x:v>Precio proveedor</x:v>
      </x:c>
      <x:c r="B9" t="str">
        <x:v>Precio de proveedor observado.</x:v>
      </x:c>
    </x:row>
    <x:row r="10" ht="18" customHeight="1">
      <x:c r="A10" t="str">
        <x:v>Precio sugerido</x:v>
      </x:c>
      <x:c r="B10" t="str">
        <x:v>Precio sugerido observado.</x:v>
      </x:c>
    </x:row>
    <x:row r="11" ht="18" customHeight="1">
      <x:c r="A11" t="str">
        <x:v>Fuente screenshot</x:v>
      </x:c>
      <x:c r="B11" t="str">
        <x:v>Pantallazo usado como fuente de captura.</x:v>
      </x:c>
    </x:row>
    <x:row r="12" ht="18" customHeight="1">
      <x:c r="A12" t="str">
        <x:v>Descripción excede screenshot</x:v>
      </x:c>
      <x:c r="B12" t="str">
        <x:v>Sí cuando el contenido sigue por debajo del pantallazo y requiere scroll.</x:v>
      </x:c>
    </x:row>
    <x:row r="13" ht="18" customHeight="1">
      <x:c r="A13" t="str">
        <x:v>Texto mal renderizado / JSON</x:v>
      </x:c>
      <x:c r="B13" t="str">
        <x:v>Sí cuando la descripción aparece como estructura JSON o texto sin procesar.</x:v>
      </x:c>
    </x:row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</x:sheetData>
  <x:pageMargins left="0.7" right="0.7" top="0.75" bottom="0.75" header="0.3" footer="0.3"/>
</x:worksheet>
</file>