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627818df0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3b31f37f72a34942"/>
    <x:sheet xmlns:r="http://schemas.openxmlformats.org/officeDocument/2006/relationships" name="01_Detalle_productos" sheetId="2" r:id="Re217d55f4fa043de"/>
    <x:sheet xmlns:r="http://schemas.openxmlformats.org/officeDocument/2006/relationships" name="02_Catalogo_visible" sheetId="3" r:id="R4983c43d15384fd0"/>
    <x:sheet xmlns:r="http://schemas.openxmlformats.org/officeDocument/2006/relationships" name="03_Data_faltante" sheetId="4" r:id="R81225d1dd94e47f2"/>
    <x:sheet xmlns:r="http://schemas.openxmlformats.org/officeDocument/2006/relationships" name="04_Diccionario" sheetId="5" r:id="R1395b6398c664750"/>
    <x:sheet xmlns:r="http://schemas.openxmlformats.org/officeDocument/2006/relationships" name="05_Resumen_catalogo_muestra" sheetId="6" r:id="R417573f965394d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$ #,##0"/>
    <x:numFmt numFmtId="202" formatCode="0.0%"/>
    <x:numFmt numFmtId="203" formatCode="$#,##0"/>
    <x:numFmt numFmtId="204" formatCode="&quot;$&quot;#,##0"/>
    <x:numFmt numFmtId="205" formatCode="0"/>
  </x:numFmts>
  <x:fonts count="6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1F2937"/>
      </x:patternFill>
    </x:fill>
    <x:fill>
      <x:patternFill patternType="solid">
        <x:fgColor rgb="F3F4F6"/>
      </x:patternFill>
    </x:fill>
    <x:fill>
      <x:patternFill patternType="solid">
        <x:fgColor rgb="111827"/>
      </x:patternFill>
    </x:fill>
    <x:fill>
      <x:patternFill patternType="solid">
        <x:fgColor rgb="F97316"/>
      </x:patternFill>
    </x:fill>
    <x:fill>
      <x:patternFill patternType="solid">
        <x:fgColor rgb="FEF3C7"/>
      </x:patternFill>
    </x:fill>
    <x:fill>
      <x:patternFill patternType="solid">
        <x:fgColor rgb="111827"/>
      </x:patternFill>
    </x:fill>
    <x:fill>
      <x:patternFill patternType="solid">
        <x:fgColor rgb="F97316"/>
      </x:patternFill>
    </x:fill>
    <x:fill>
      <x:patternFill patternType="solid">
        <x:fgColor rgb="111827"/>
      </x:patternFill>
    </x:fill>
    <x:fill>
      <x:patternFill patternType="solid">
        <x:fgColor rgb="111827"/>
      </x:patternFill>
    </x:fill>
    <x:fill>
      <x:patternFill patternType="solid">
        <x:fgColor rgb="F97316"/>
      </x:patternFill>
    </x:fill>
    <x:fill>
      <x:patternFill patternType="solid">
        <x:fgColor rgb="F3F4F6"/>
      </x:patternFill>
    </x:fill>
    <x:fill>
      <x:patternFill patternType="solid">
        <x:fgColor rgb="7C2D12"/>
      </x:patternFill>
    </x:fill>
    <x:fill>
      <x:patternFill patternType="solid">
        <x:fgColor rgb="EA580C"/>
      </x:patternFill>
    </x:fill>
  </x:fills>
  <x:borders count="2">
    <x:border/>
    <x:border/>
  </x:borders>
  <x:cellStyleXfs count="1">
    <x:xf numFmtId="0" fontId="0" fillId="0" borderId="0"/>
  </x:cellStyleXfs>
  <x:cellXfs count="1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4" fillId="2" borderId="0" xfId="0" applyNumberFormat="1" applyFont="1" applyFill="1" applyBorder="1" applyAlignment="1">
      <x:alignment horizontal="left" vertical="top"/>
    </x:xf>
    <x:xf numFmtId="0" fontId="4" fillId="2" borderId="1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vertical="top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horizontal="left" vertical="top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horizontal="center" vertical="top" wrapText="1"/>
    </x:xf>
    <x:xf numFmtId="204" fontId="0" fillId="0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left" vertical="top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8"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1c695dd455422d" /><Relationship Type="http://schemas.openxmlformats.org/officeDocument/2006/relationships/theme" Target="/xl/theme/theme1.xml" Id="Rce3eb74e9386409e" /><Relationship Type="http://schemas.openxmlformats.org/officeDocument/2006/relationships/sharedStrings" Target="/xl/sharedStrings.xml" Id="R5856093b5d1649f4" /><Relationship Type="http://schemas.openxmlformats.org/officeDocument/2006/relationships/worksheet" Target="/xl/worksheets/sheet1.xml" Id="R3b31f37f72a34942" /><Relationship Type="http://schemas.openxmlformats.org/officeDocument/2006/relationships/worksheet" Target="/xl/worksheets/sheet2.xml" Id="Re217d55f4fa043de" /><Relationship Type="http://schemas.openxmlformats.org/officeDocument/2006/relationships/worksheet" Target="/xl/worksheets/sheet3.xml" Id="R4983c43d15384fd0" /><Relationship Type="http://schemas.openxmlformats.org/officeDocument/2006/relationships/worksheet" Target="/xl/worksheets/sheet4.xml" Id="R81225d1dd94e47f2" /><Relationship Type="http://schemas.openxmlformats.org/officeDocument/2006/relationships/worksheet" Target="/xl/worksheets/sheet5.xml" Id="R1395b6398c664750" /><Relationship Type="http://schemas.openxmlformats.org/officeDocument/2006/relationships/worksheet" Target="/xl/worksheets/sheet6.xml" Id="R417573f965394d51" /></Relationships>
</file>

<file path=xl/tables/table1.xml><?xml version="1.0" encoding="utf-8"?>
<x:table xmlns:x="http://schemas.openxmlformats.org/spreadsheetml/2006/main" id="1" name="DetalleProductosOSHOP" displayName="DetalleProductosOSHOP" ref="A1:Z11" headerRowCount="1">
  <x:tableColumns count="26">
    <x:tableColumn id="1" name="#"/>
    <x:tableColumn id="2" name="ID producto"/>
    <x:tableColumn id="3" name="Nombre producto"/>
    <x:tableColumn id="4" name="Categoría visible"/>
    <x:tableColumn id="5" name="Tipo producto"/>
    <x:tableColumn id="6" name="SKU"/>
    <x:tableColumn id="7" name="Precio proveedor"/>
    <x:tableColumn id="8" name="Precio sugerido"/>
    <x:tableColumn id="9" name="Diferencia precio"/>
    <x:tableColumn id="10" name="% diferencia sobre proveedor"/>
    <x:tableColumn id="11" name="Stock público"/>
    <x:tableColumn id="12" name="Stock privado"/>
    <x:tableColumn id="13" name="Bodega"/>
    <x:tableColumn id="14" name="Cantidad imágenes visibles"/>
    <x:tableColumn id="15" name="Tiene descripción"/>
    <x:tableColumn id="16" name="Descripción excede screenshot"/>
    <x:tableColumn id="17" name="Tipo descripción visible"/>
    <x:tableColumn id="18" name="Tiene beneficios visibles"/>
    <x:tableColumn id="19" name="Tiene modo de uso visible"/>
    <x:tableColumn id="20" name="Tiene especificaciones visibles"/>
    <x:tableColumn id="21" name="Tiene imágenes en descripción"/>
    <x:tableColumn id="22" name="Tiene garantías visibles"/>
    <x:tableColumn id="23" name="Tiene recursos adicionales visibles"/>
    <x:tableColumn id="24" name="Texto genérico repetido"/>
    <x:tableColumn id="25" name="Observación cruda"/>
    <x:tableColumn id="26" name="Pantallazo fuente"/>
  </x:tableColumns>
  <x:tableStyleInfo name="TableStyleMedium2" showRowStripes="1"/>
</x:table>
</file>

<file path=xl/tables/table2.xml><?xml version="1.0" encoding="utf-8"?>
<x:table xmlns:x="http://schemas.openxmlformats.org/spreadsheetml/2006/main" id="2" name="CatalogoVisibleOSHOP" displayName="CatalogoVisibleOSHOP" ref="A1:J51" headerRowCount="1">
  <x:tableColumns count="10">
    <x:tableColumn id="1" name="#"/>
    <x:tableColumn id="2" name="Nombre producto visible"/>
    <x:tableColumn id="3" name="Categoría visible"/>
    <x:tableColumn id="4" name="Precio proveedor"/>
    <x:tableColumn id="5" name="Precio sugerido"/>
    <x:tableColumn id="6" name="Stock visible"/>
    <x:tableColumn id="7" name="Etiqueta visible"/>
    <x:tableColumn id="8" name="Tipo visible"/>
    <x:tableColumn id="9" name="Observación cruda"/>
    <x:tableColumn id="10" name="Pantallazo fuente"/>
  </x:tableColumns>
  <x:tableStyleInfo name="TableStyleMedium2" showRowStripes="1"/>
</x:table>
</file>

<file path=xl/tables/table3.xml><?xml version="1.0" encoding="utf-8"?>
<x:table xmlns:x="http://schemas.openxmlformats.org/spreadsheetml/2006/main" id="3" name="DataFaltanteOSHOP" displayName="DataFaltanteOSHOP" ref="A2:F22" headerRowCount="1">
  <x:tableColumns count="6">
    <x:tableColumn id="1" name="Dato requerido"/>
    <x:tableColumn id="2" name="Estado"/>
    <x:tableColumn id="3" name="Nivel"/>
    <x:tableColumn id="4" name="Por qué importa"/>
    <x:tableColumn id="5" name="Fuente requerida"/>
    <x:tableColumn id="6" name="Pregunta para BI/Data"/>
  </x:tableColumns>
  <x:tableStyleInfo name="TableStyleMedium2" showRowStripes="1"/>
</x:table>
</file>

<file path=xl/tables/table4.xml><?xml version="1.0" encoding="utf-8"?>
<x:table xmlns:x="http://schemas.openxmlformats.org/spreadsheetml/2006/main" id="4" name="DiccionarioOSHOP" displayName="DiccionarioOSHOP" ref="A3:D15" headerRowCount="1">
  <x:tableColumns count="4">
    <x:tableColumn id="1" name="Campo"/>
    <x:tableColumn id="2" name="Definición"/>
    <x:tableColumn id="3" name="Valores esperados"/>
    <x:tableColumn id="4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0e925d531641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5b6d2b34614f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c4490bc03148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2f773816cc4ad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4" max="4" width="27.049999237060547" hidden="0" customWidth="1"/>
    <x:col min="5" max="5" width="9.149999618530273" hidden="0" customWidth="1"/>
    <x:col min="6" max="6" width="14.130000114440918" hidden="0" customWidth="1"/>
    <x:col min="7" max="7" width="8.34000015258789" hidden="0" customWidth="1"/>
    <x:col min="8" max="8" width="32.29999923706055" hidden="0" customWidth="1"/>
  </x:cols>
  <x:sheetData>
    <x:row r="1" ht="24" customHeight="1">
      <x:c r="A1" s="80" t="str">
        <x:v>Inteligencia de Catálogo · Supplier individual · TIENDA OSHOP</x:v>
      </x:c>
      <x:c r="B1" s="80"/>
      <x:c r="C1" s="80"/>
      <x:c r="D1" s="58"/>
      <x:c r="E1" s="58"/>
      <x:c r="F1" s="58"/>
      <x:c r="G1" s="58"/>
      <x:c r="H1" s="58"/>
      <x:c r="I1" s="59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  <x:c r="Z1" s="59"/>
      <x:c r="AA1" s="59"/>
      <x:c r="AB1" s="59"/>
      <x:c r="AC1" s="59"/>
      <x:c r="AD1" s="59"/>
      <x:c r="AE1" s="59"/>
      <x:c r="AF1" s="59"/>
    </x:row>
    <x:row r="2" ht="24" customHeight="1"/>
    <x:row r="3" ht="24" customHeight="1">
      <x:c r="A3" s="13" t="str">
        <x:v>Datos visibles del perfil</x:v>
      </x:c>
      <x:c r="B3" s="13"/>
      <x:c r="D3" s="13" t="str">
        <x:v>KPIs visibles del supplier</x:v>
      </x:c>
      <x:c r="E3" s="13"/>
      <x:c r="F3" s="13"/>
      <x:c r="G3" s="13"/>
      <x:c r="H3" s="13"/>
    </x:row>
    <x:row r="4" ht="24" customHeight="1">
      <x:c r="A4" s="22" t="str">
        <x:v>Campo</x:v>
      </x:c>
      <x:c r="B4" s="22" t="str">
        <x:v>Valor capturado</x:v>
      </x:c>
      <x:c r="D4" s="22" t="str">
        <x:v>Métrica</x:v>
      </x:c>
      <x:c r="E4" s="22" t="str">
        <x:v>Valor</x:v>
      </x:c>
      <x:c r="F4" s="22" t="str">
        <x:v>Fuente</x:v>
      </x:c>
      <x:c r="G4" s="22" t="str">
        <x:v>Estado</x:v>
      </x:c>
      <x:c r="H4" s="22" t="str">
        <x:v>Comentario</x:v>
      </x:c>
    </x:row>
    <x:row r="5" ht="24" customHeight="1">
      <x:c r="A5" s="32" t="str">
        <x:v>Nombre supplier</x:v>
      </x:c>
      <x:c r="B5" s="38" t="str">
        <x:v>TIENDA OSHOP</x:v>
      </x:c>
      <x:c r="D5" s="38" t="str">
        <x:v>Productos visibles</x:v>
      </x:c>
      <x:c r="E5" s="40" t="n">
        <x:v>672</x:v>
      </x:c>
      <x:c r="F5" s="38" t="str">
        <x:v>Perfil supplier</x:v>
      </x:c>
      <x:c r="G5" s="38" t="str">
        <x:v>Disponible</x:v>
      </x:c>
      <x:c r="H5" s="38" t="str">
        <x:v>Capturado del pantallazo</x:v>
      </x:c>
    </x:row>
    <x:row r="6" ht="24" customHeight="1">
      <x:c r="A6" s="32" t="str">
        <x:v>Tipo / etiqueta visible</x:v>
      </x:c>
      <x:c r="B6" s="40" t="str">
        <x:v>Exclusivo</x:v>
      </x:c>
      <x:c r="D6" s="38" t="str">
        <x:v>Órdenes históricas</x:v>
      </x:c>
      <x:c r="E6" s="40" t="n">
        <x:v>401005</x:v>
      </x:c>
      <x:c r="F6" s="38" t="str">
        <x:v>Perfil supplier</x:v>
      </x:c>
      <x:c r="G6" s="38" t="str">
        <x:v>Disponible</x:v>
      </x:c>
      <x:c r="H6" s="38" t="str">
        <x:v>Capturado del pantallazo</x:v>
      </x:c>
    </x:row>
    <x:row r="7" ht="24" customHeight="1">
      <x:c r="A7" s="32" t="str">
        <x:v>En Dropi desde</x:v>
      </x:c>
      <x:c r="B7" s="40" t="str">
        <x:v>16/09/2022</x:v>
      </x:c>
      <x:c r="D7" s="38" t="str">
        <x:v>Dropshippers</x:v>
      </x:c>
      <x:c r="E7" s="40" t="n">
        <x:v>4769</x:v>
      </x:c>
      <x:c r="F7" s="38" t="str">
        <x:v>Perfil supplier</x:v>
      </x:c>
      <x:c r="G7" s="38" t="str">
        <x:v>Disponible</x:v>
      </x:c>
      <x:c r="H7" s="38" t="str">
        <x:v>Capturado del pantallazo</x:v>
      </x:c>
    </x:row>
    <x:row r="8" ht="24" customHeight="1">
      <x:c r="A8" s="32" t="str">
        <x:v>Última conexión</x:v>
      </x:c>
      <x:c r="B8" s="40" t="str">
        <x:v>Hoy</x:v>
      </x:c>
      <x:c r="D8" s="38" t="str">
        <x:v>Tiempo despacho</x:v>
      </x:c>
      <x:c r="E8" s="38" t="str">
        <x:v>5 h</x:v>
      </x:c>
      <x:c r="F8" s="38" t="str">
        <x:v>Perfil supplier</x:v>
      </x:c>
      <x:c r="G8" s="38" t="str">
        <x:v>Disponible</x:v>
      </x:c>
      <x:c r="H8" s="38" t="str">
        <x:v>Capturado del pantallazo</x:v>
      </x:c>
    </x:row>
    <x:row r="9" ht="24" customHeight="1">
      <x:c r="A9" s="32" t="str">
        <x:v>Productos visibles en perfil</x:v>
      </x:c>
      <x:c r="B9" s="40" t="n">
        <x:v>672</x:v>
      </x:c>
      <x:c r="D9" s="38" t="str">
        <x:v>Bodega</x:v>
      </x:c>
      <x:c r="E9" s="38" t="str">
        <x:v>Bogotá</x:v>
      </x:c>
      <x:c r="F9" s="38" t="str">
        <x:v>Perfil supplier</x:v>
      </x:c>
      <x:c r="G9" s="38" t="str">
        <x:v>Disponible</x:v>
      </x:c>
      <x:c r="H9" s="38" t="str">
        <x:v>Capturado del pantallazo</x:v>
      </x:c>
    </x:row>
    <x:row r="10" ht="24" customHeight="1">
      <x:c r="A10" s="32" t="str">
        <x:v>Productos base inicial</x:v>
      </x:c>
      <x:c r="B10" s="40" t="n">
        <x:v>672</x:v>
      </x:c>
    </x:row>
    <x:row r="11" ht="24" customHeight="1">
      <x:c r="A11" s="32" t="str">
        <x:v>Diferencia perfil vs base</x:v>
      </x:c>
      <x:c r="B11" s="38" t="n">
        <x:f>B9-B10</x:f>
        <x:v>0</x:v>
      </x:c>
    </x:row>
    <x:row r="12" ht="24" customHeight="1">
      <x:c r="A12" s="32" t="str">
        <x:v>Órdenes históricas</x:v>
      </x:c>
      <x:c r="B12" s="38" t="n">
        <x:v>401005</x:v>
      </x:c>
      <x:c r="D12" s="93" t="str">
        <x:v>Avance muestra detalle producto</x:v>
      </x:c>
      <x:c r="E12" s="93"/>
      <x:c r="F12" s="93"/>
      <x:c r="G12" s="93"/>
      <x:c r="H12" s="93"/>
    </x:row>
    <x:row r="13" ht="24" customHeight="1">
      <x:c r="A13" s="32" t="str">
        <x:v>Dropshippers</x:v>
      </x:c>
      <x:c r="B13" s="38" t="n">
        <x:v>4769</x:v>
      </x:c>
      <x:c r="D13" s="94" t="str">
        <x:v>Métrica</x:v>
      </x:c>
      <x:c r="E13" s="94" t="str">
        <x:v>Valor</x:v>
      </x:c>
      <x:c r="F13" s="94" t="str">
        <x:v>Fuente</x:v>
      </x:c>
      <x:c r="G13" s="94" t="str">
        <x:v>Estado</x:v>
      </x:c>
      <x:c r="H13" s="94" t="str">
        <x:v>Comentario</x:v>
      </x:c>
    </x:row>
    <x:row r="14" ht="24" customHeight="1">
      <x:c r="A14" s="32" t="str">
        <x:v>Tiempo de despacho</x:v>
      </x:c>
      <x:c r="B14" s="38" t="str">
        <x:v>5 h</x:v>
      </x:c>
      <x:c r="D14" s="38" t="str">
        <x:v>Productos detalle capturados</x:v>
      </x:c>
      <x:c r="E14" s="38" t="n">
        <x:v>19</x:v>
      </x:c>
      <x:c r="F14" s="38" t="str">
        <x:v>Detalle productos</x:v>
      </x:c>
      <x:c r="G14" s="38" t="str">
        <x:v>Parcial</x:v>
      </x:c>
      <x:c r="H14" s="38" t="str">
        <x:v>Muestra en curso / ampliada. Se registraron 19 productos de detalle.</x:v>
      </x:c>
    </x:row>
    <x:row r="15" ht="24" customHeight="1">
      <x:c r="A15" s="32" t="str">
        <x:v>Bodega visible</x:v>
      </x:c>
      <x:c r="B15" s="38" t="str">
        <x:v>Bogotá</x:v>
      </x:c>
      <x:c r="D15" s="38" t="str">
        <x:v>Última actualización detalle</x:v>
      </x:c>
      <x:c r="E15" s="38" t="str">
        <x:v>2026-05-28</x:v>
      </x:c>
      <x:c r="F15" s="38" t="str">
        <x:v>Captura manual</x:v>
      </x:c>
      <x:c r="G15" s="38" t="str">
        <x:v>Disponible</x:v>
      </x:c>
      <x:c r="H15" s="38" t="str">
        <x:v>Se agregaron los últimos 3 productos de detalle: Set Cepillo Secador 5en1 Voluminizador, Camara Mini Espia Wifi De Seguridad A9 y Combo Hidrolavadorasaspiradora Porta 2ba.</x:v>
      </x:c>
    </x:row>
    <x:row r="16" ht="24" customHeight="1">
      <x:c r="A16" s="32" t="str">
        <x:v>Calificación últimos 30 días</x:v>
      </x:c>
      <x:c r="B16" s="38" t="str">
        <x:v>Óptima</x:v>
      </x:c>
    </x:row>
    <x:row r="17" ht="24" customHeight="1">
      <x:c r="A17" s="32" t="str">
        <x:v>Despachos</x:v>
      </x:c>
      <x:c r="B17" s="38" t="str">
        <x:v>Envía rápido y sin demoras</x:v>
      </x:c>
    </x:row>
    <x:row r="18" ht="24" customHeight="1">
      <x:c r="A18" s="32" t="str">
        <x:v>Cumplimiento</x:v>
      </x:c>
      <x:c r="B18" s="38" t="str">
        <x:v>Pocos rechazos y cancelaciones</x:v>
      </x:c>
    </x:row>
    <x:row r="19" ht="24" customHeight="1">
      <x:c r="A19" s="32" t="str">
        <x:v>Postventa</x:v>
      </x:c>
      <x:c r="B19" s="38" t="str">
        <x:v>Muy pocos reclamos y atención rápida</x:v>
      </x:c>
    </x:row>
    <x:row r="20" ht="24" customHeight="1">
      <x:c r="A20" s="32" t="str">
        <x:v>Pantallazo fuente</x:v>
      </x:c>
      <x:c r="B20" s="38" t="str">
        <x:v>Captura de pantalla 2026-05-28 a las 2.16.14 p. m..png</x:v>
      </x:c>
    </x:row>
    <x:row r="21" ht="24" customHeight="1"/>
    <x:row r="22" ht="24" customHeight="1"/>
    <x:row r="23" ht="24" customHeight="1">
      <x:c r="A23" s="13" t="str">
        <x:v>Estado de captura del proveedor</x:v>
      </x:c>
      <x:c r="B23" s="13"/>
      <x:c r="C23" s="13"/>
      <x:c r="D23" s="13"/>
      <x:c r="E23" s="13"/>
      <x:c r="F23" s="13"/>
      <x:c r="G23" s="13"/>
      <x:c r="H23" s="13"/>
    </x:row>
    <x:row r="24" ht="24" customHeight="1">
      <x:c r="A24" s="22" t="str">
        <x:v>Componente</x:v>
      </x:c>
      <x:c r="B24" s="22" t="str">
        <x:v>Estado</x:v>
      </x:c>
      <x:c r="C24" s="22" t="str">
        <x:v>Detalle</x:v>
      </x:c>
    </x:row>
    <x:row r="25" ht="24" customHeight="1">
      <x:c r="A25" s="38" t="str">
        <x:v>Perfil supplier</x:v>
      </x:c>
      <x:c r="B25" s="38" t="str">
        <x:v>Capturado</x:v>
      </x:c>
      <x:c r="C25" s="38" t="str">
        <x:v>Se cargó información visible del perfil</x:v>
      </x:c>
    </x:row>
    <x:row r="26" ht="24" customHeight="1">
      <x:c r="A26" s="38" t="str">
        <x:v>Catálogo visible</x:v>
      </x:c>
      <x:c r="B26" s="38" t="str">
        <x:v>Pendiente</x:v>
      </x:c>
      <x:c r="C26" s="38" t="str">
        <x:v>Pendiente pantallazos de catálogo general</x:v>
      </x:c>
    </x:row>
    <x:row r="27" ht="24" customHeight="1">
      <x:c r="A27" s="79" t="str">
        <x:v>Catálogo visible - muestra</x:v>
      </x:c>
      <x:c r="B27" s="79" t="str">
        <x:v>Capturado</x:v>
      </x:c>
      <x:c r="C27" s="79" t="str">
        <x:v>150 productos visibles extraídos de 5 pantallazos de muestra del catálogo</x:v>
      </x:c>
    </x:row>
    <x:row r="28" ht="24" customHeight="1">
      <x:c r="A28" s="38" t="str">
        <x:v>Categorías visibles en muestra</x:v>
      </x:c>
      <x:c r="B28" s="38" t="str">
        <x:v>Tecnología, Hogar, Belleza, Cocina, Salud, Juguetería, Herramientas, Mascotas</x:v>
      </x:c>
      <x:c r="C28" s="38" t="str">
        <x:v>Ver hoja 05_Resumen_catalogo_muestra para distribución</x:v>
      </x:c>
    </x:row>
    <x:row r="29" ht="24" customHeight="1">
      <x:c r="A29" t="str">
        <x:v>Pendiente siguiente paso</x:v>
      </x:c>
      <x:c r="B29" t="str">
        <x:v>Detalle 10 productos</x:v>
      </x:c>
      <x:c r="C29" t="str">
        <x:v>Revisar ficha individual para calidad de contenido, imágenes, descripción, stock privado y recursos</x:v>
      </x:c>
    </x:row>
    <x:row r="30" ht="24" customHeight="1">
      <x:c r="A30" t="str">
        <x:v>Data faltante</x:v>
      </x:c>
      <x:c r="B30" t="str">
        <x:v>Requiere BI / base de datos</x:v>
      </x:c>
      <x:c r="C30" t="str">
        <x:v>Órdenes por producto, GMV, conversión, productos privados, stock histórico</x:v>
      </x:c>
    </x:row>
    <x:row r="31" ht="24" customHeight="1"/>
    <x:row r="32" ht="24" customHeight="1"/>
    <x:row r="33" ht="24" customHeight="1"/>
    <x:row r="34" ht="24" customHeight="1"/>
    <x:row r="35" ht="24" customHeight="1"/>
    <x:row r="36" ht="24" customHeight="1"/>
    <x:row r="37" ht="24" customHeight="1"/>
    <x:row r="38" ht="24" customHeight="1"/>
    <x:row r="39" ht="24" customHeight="1"/>
    <x:row r="40" ht="24" customHeight="1"/>
    <x:row r="41" ht="24" customHeight="1"/>
    <x:row r="42" ht="24" customHeight="1"/>
    <x:row r="43" ht="24" customHeight="1"/>
    <x:row r="44" ht="24" customHeight="1"/>
    <x:row r="45" ht="24" customHeight="1"/>
    <x:row r="46" ht="24" customHeight="1"/>
    <x:row r="47" ht="24" customHeight="1"/>
    <x:row r="48" ht="24" customHeight="1"/>
    <x:row r="49" ht="24" customHeight="1"/>
    <x:row r="50" ht="24" customHeight="1"/>
    <x:row r="51" ht="24" customHeight="1"/>
    <x:row r="52" ht="24" customHeight="1"/>
    <x:row r="53" ht="24" customHeight="1"/>
    <x:row r="54" ht="24" customHeight="1"/>
    <x:row r="55" ht="24" customHeight="1"/>
    <x:row r="56" ht="24" customHeight="1"/>
    <x:row r="57" ht="24" customHeight="1"/>
    <x:row r="58" ht="24" customHeight="1"/>
    <x:row r="59" ht="24" customHeight="1"/>
    <x:row r="60" ht="24" customHeight="1"/>
    <x:row r="61" ht="24" customHeight="1"/>
    <x:row r="62" ht="24" customHeight="1"/>
    <x:row r="63" ht="24" customHeight="1"/>
    <x:row r="64" ht="24" customHeight="1"/>
    <x:row r="65" ht="24" customHeight="1"/>
    <x:row r="66" ht="24" customHeight="1"/>
    <x:row r="67" ht="24" customHeight="1"/>
    <x:row r="68" ht="24" customHeight="1"/>
    <x:row r="69" ht="24" customHeight="1"/>
    <x:row r="70" ht="24" customHeight="1"/>
    <x:row r="71" ht="24" customHeight="1"/>
    <x:row r="72" ht="24" customHeight="1"/>
    <x:row r="73" ht="24" customHeight="1"/>
    <x:row r="74" ht="24" customHeight="1"/>
    <x:row r="75" ht="24" customHeight="1"/>
    <x:row r="76" ht="24" customHeight="1"/>
    <x:row r="77" ht="24" customHeight="1"/>
    <x:row r="78" ht="24" customHeight="1"/>
    <x:row r="79" ht="24" customHeight="1"/>
    <x:row r="80" ht="24" customHeight="1"/>
    <x:row r="81" ht="24" customHeight="1"/>
    <x:row r="82" ht="24" customHeight="1"/>
    <x:row r="83" ht="24" customHeight="1"/>
    <x:row r="84" ht="24" customHeight="1"/>
    <x:row r="85" ht="24" customHeight="1"/>
    <x:row r="86" ht="24" customHeight="1"/>
    <x:row r="87" ht="24" customHeight="1"/>
    <x:row r="88" ht="24" customHeight="1"/>
    <x:row r="89" ht="24" customHeight="1"/>
    <x:row r="90" ht="24" customHeight="1"/>
    <x:row r="91" ht="24" customHeight="1"/>
    <x:row r="92" ht="24" customHeight="1"/>
    <x:row r="93" ht="24" customHeight="1"/>
    <x:row r="94" ht="24" customHeight="1"/>
    <x:row r="95" ht="24" customHeight="1"/>
    <x:row r="96" ht="24" customHeight="1"/>
    <x:row r="97" ht="24" customHeight="1"/>
    <x:row r="98" ht="24" customHeight="1"/>
    <x:row r="99" ht="24" customHeight="1"/>
    <x:row r="100" ht="24" customHeight="1"/>
  </x:sheetData>
  <x:mergeCells>
    <x:mergeCell ref="A1:H1"/>
    <x:mergeCell ref="A3:B3"/>
    <x:mergeCell ref="D3:H3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28" hidden="0" customWidth="1"/>
    <x:col min="4" max="4" width="18" hidden="0" customWidth="1"/>
    <x:col min="5" max="5" width="18" hidden="0" customWidth="1"/>
    <x:col min="6" max="6" width="2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  <x:col min="14" max="14" width="16" hidden="0" customWidth="1"/>
    <x:col min="15" max="15" width="18" hidden="0" customWidth="1"/>
    <x:col min="16" max="16" width="18" hidden="0" customWidth="1"/>
    <x:col min="17" max="17" width="2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55" hidden="0" customWidth="1"/>
    <x:col min="26" max="26" width="28" hidden="0" customWidth="1"/>
    <x:col min="28" max="28" width="30" hidden="0" customWidth="1"/>
    <x:col min="29" max="29" width="22" hidden="0" customWidth="1"/>
  </x:cols>
  <x:sheetData>
    <x:row r="1" ht="24" customHeight="1">
      <x:c r="A1" s="119" t="str">
        <x:v>#</x:v>
      </x:c>
      <x:c r="B1" s="119" t="str">
        <x:v>ID producto</x:v>
      </x:c>
      <x:c r="C1" s="119" t="str">
        <x:v>Nombre producto</x:v>
      </x:c>
      <x:c r="D1" s="119" t="str">
        <x:v>Categoría visible</x:v>
      </x:c>
      <x:c r="E1" s="119" t="str">
        <x:v>Tipo producto</x:v>
      </x:c>
      <x:c r="F1" s="119" t="str">
        <x:v>SKU</x:v>
      </x:c>
      <x:c r="G1" s="119" t="str">
        <x:v>Precio proveedor</x:v>
      </x:c>
      <x:c r="H1" s="119" t="str">
        <x:v>Precio sugerido</x:v>
      </x:c>
      <x:c r="I1" s="119" t="str">
        <x:v>Diferencia precio</x:v>
      </x:c>
      <x:c r="J1" s="119" t="str">
        <x:v>% diferencia sobre proveedor</x:v>
      </x:c>
      <x:c r="K1" s="119" t="str">
        <x:v>Stock público</x:v>
      </x:c>
      <x:c r="L1" s="119" t="str">
        <x:v>Stock privado</x:v>
      </x:c>
      <x:c r="M1" s="119" t="str">
        <x:v>Bodega</x:v>
      </x:c>
      <x:c r="N1" s="119" t="str">
        <x:v>Cantidad imágenes visibles</x:v>
      </x:c>
      <x:c r="O1" s="119" t="str">
        <x:v>Tiene descripción</x:v>
      </x:c>
      <x:c r="P1" s="119" t="str">
        <x:v>Descripción excede screenshot</x:v>
      </x:c>
      <x:c r="Q1" s="119" t="str">
        <x:v>Tipo descripción visible</x:v>
      </x:c>
      <x:c r="R1" s="119" t="str">
        <x:v>Tiene beneficios visibles</x:v>
      </x:c>
      <x:c r="S1" s="119" t="str">
        <x:v>Tiene modo de uso visible</x:v>
      </x:c>
      <x:c r="T1" s="119" t="str">
        <x:v>Tiene especificaciones visibles</x:v>
      </x:c>
      <x:c r="U1" s="119" t="str">
        <x:v>Tiene imágenes en descripción</x:v>
      </x:c>
      <x:c r="V1" s="119" t="str">
        <x:v>Tiene garantías visibles</x:v>
      </x:c>
      <x:c r="W1" s="119" t="str">
        <x:v>Tiene recursos adicionales visibles</x:v>
      </x:c>
      <x:c r="X1" s="119" t="str">
        <x:v>Texto genérico repetido</x:v>
      </x:c>
      <x:c r="Y1" s="119" t="str">
        <x:v>Observación cruda</x:v>
      </x:c>
      <x:c r="Z1" s="119" t="str">
        <x:v>Pantallazo fuente</x:v>
      </x:c>
      <x:c r="AA1" s="100"/>
      <x:c r="AB1" s="118" t="str">
        <x:v>Resumen automático muestra 19 productos</x:v>
      </x:c>
      <x:c r="AC1" s="118"/>
      <x:c r="AD1" s="63"/>
      <x:c r="AE1" s="63"/>
      <x:c r="AF1" s="63"/>
    </x:row>
    <x:row r="2" ht="24" customHeight="1">
      <x:c r="A2" s="38" t="n">
        <x:v>1</x:v>
      </x:c>
      <x:c r="B2" s="38" t="n">
        <x:v>2101886</x:v>
      </x:c>
      <x:c r="C2" s="38" t="str">
        <x:v>Organizador De Loza Triple Nivel</x:v>
      </x:c>
      <x:c r="D2" s="38" t="str">
        <x:v>Cocina</x:v>
      </x:c>
      <x:c r="E2" s="38" t="str">
        <x:v>Simple</x:v>
      </x:c>
      <x:c r="F2" s="38" t="str">
        <x:v>00</x:v>
      </x:c>
      <x:c r="G2" s="48" t="n">
        <x:v>54900</x:v>
      </x:c>
      <x:c r="H2" s="48" t="n">
        <x:v>70000</x:v>
      </x:c>
      <x:c r="I2" s="48" t="n">
        <x:f>H2-G2</x:f>
        <x:v>15100</x:v>
      </x:c>
      <x:c r="J2" s="49" t="n">
        <x:f>IF(G2=0,"",I2/G2)</x:f>
        <x:v>0.2750455373406193</x:v>
      </x:c>
      <x:c r="K2" s="110" t="n">
        <x:v>591</x:v>
      </x:c>
      <x:c r="L2" s="110" t="n">
        <x:v>0</x:v>
      </x:c>
      <x:c r="M2" s="38" t="str">
        <x:v>BOGOTA, CALDAS</x:v>
      </x:c>
      <x:c r="N2" s="38" t="n">
        <x:v>4</x:v>
      </x:c>
      <x:c r="O2" s="38" t="str">
        <x:v>Sí</x:v>
      </x:c>
      <x:c r="P2" s="38" t="str">
        <x:v>No</x:v>
      </x:c>
      <x:c r="Q2" s="38" t="str">
        <x:v>Específica producto</x:v>
      </x:c>
      <x:c r="R2" s="38" t="str">
        <x:v>Sí</x:v>
      </x:c>
      <x:c r="S2" s="38" t="str">
        <x:v>No visible</x:v>
      </x:c>
      <x:c r="T2" s="38" t="str">
        <x:v>Sí</x:v>
      </x:c>
      <x:c r="U2" s="38" t="str">
        <x:v>No</x:v>
      </x:c>
      <x:c r="V2" s="38" t="str">
        <x:v>Pestaña visible, no abierta</x:v>
      </x:c>
      <x:c r="W2" s="38" t="str">
        <x:v>Pestaña visible, no abierta</x:v>
      </x:c>
      <x:c r="X2" s="38" t="str">
        <x:v>No</x:v>
      </x:c>
      <x:c r="Y2" s="38" t="str">
        <x:v>Descripción específica visible. Menciona uso, materiales, resistencia, optimización de espacio y diseño.</x:v>
      </x:c>
      <x:c r="Z2" s="38" t="str">
        <x:v>Captura 2026-05-28 2.26.05 p. m.</x:v>
      </x:c>
      <x:c r="AB2" s="119" t="str">
        <x:v>Métrica</x:v>
      </x:c>
      <x:c r="AC2" s="119" t="str">
        <x:v>Fórmula / valor</x:v>
      </x:c>
    </x:row>
    <x:row r="3" ht="24" customHeight="1">
      <x:c r="A3" s="38" t="n">
        <x:v>2</x:v>
      </x:c>
      <x:c r="B3" s="38" t="n">
        <x:v>96790</x:v>
      </x:c>
      <x:c r="C3" s="38" t="str">
        <x:v>Transmisor Carro Carg7 Usb Aux Bluetooth</x:v>
      </x:c>
      <x:c r="D3" s="38" t="str">
        <x:v>Tecnología / Vehículos</x:v>
      </x:c>
      <x:c r="E3" s="38" t="str">
        <x:v>Simple</x:v>
      </x:c>
      <x:c r="F3" s="38" t="str">
        <x:v>transmisor (visible parcial)</x:v>
      </x:c>
      <x:c r="G3" s="48" t="n">
        <x:v>14900</x:v>
      </x:c>
      <x:c r="H3" s="48" t="n">
        <x:v>19900</x:v>
      </x:c>
      <x:c r="I3" s="48" t="n">
        <x:f>H3-G3</x:f>
        <x:v>5000</x:v>
      </x:c>
      <x:c r="J3" s="49" t="n">
        <x:f>IF(G3=0,"",I3/G3)</x:f>
        <x:v>0.33557046979865773</x:v>
      </x:c>
      <x:c r="K3" s="110" t="n">
        <x:v>44</x:v>
      </x:c>
      <x:c r="L3" s="110" t="n">
        <x:v>0</x:v>
      </x:c>
      <x:c r="M3" s="38" t="str">
        <x:v>BOGOTA, CALDAS</x:v>
      </x:c>
      <x:c r="N3" s="38" t="n">
        <x:v>5</x:v>
      </x:c>
      <x:c r="O3" s="38" t="str">
        <x:v>Sí</x:v>
      </x:c>
      <x:c r="P3" s="38" t="str">
        <x:v>Sí</x:v>
      </x:c>
      <x:c r="Q3" s="38" t="str">
        <x:v>Específica producto + garantía</x:v>
      </x:c>
      <x:c r="R3" s="38" t="str">
        <x:v>Sí</x:v>
      </x:c>
      <x:c r="S3" s="38" t="str">
        <x:v>No visible</x:v>
      </x:c>
      <x:c r="T3" s="38" t="str">
        <x:v>Sí</x:v>
      </x:c>
      <x:c r="U3" s="38" t="str">
        <x:v>No</x:v>
      </x:c>
      <x:c r="V3" s="38" t="str">
        <x:v>Sí, sección visible</x:v>
      </x:c>
      <x:c r="W3" s="38" t="str">
        <x:v>Pestaña visible, no abierta</x:v>
      </x:c>
      <x:c r="X3" s="38" t="str">
        <x:v>No</x:v>
      </x:c>
      <x:c r="Y3" s="38" t="str">
        <x:v>Descripción extensa con características técnicas visibles. Se observa sección GARANTÍA.</x:v>
      </x:c>
      <x:c r="Z3" s="38" t="str">
        <x:v>Captura 2026-05-28 2.25.59 p. m.</x:v>
      </x:c>
      <x:c r="AB3" s="32" t="str">
        <x:v>Productos capturados</x:v>
      </x:c>
      <x:c r="AC3" s="38" t="n">
        <x:f>COUNTA(A2:A20)</x:f>
        <x:v>19</x:v>
      </x:c>
    </x:row>
    <x:row r="4" ht="24" customHeight="1">
      <x:c r="A4" s="38" t="n">
        <x:v>3</x:v>
      </x:c>
      <x:c r="B4" s="38" t="n">
        <x:v>231315</x:v>
      </x:c>
      <x:c r="C4" s="38" t="str">
        <x:v>Lampara Uv Led Para Unas Secado Rapido</x:v>
      </x:c>
      <x:c r="D4" s="38" t="str">
        <x:v>Belleza / Tecnología</x:v>
      </x:c>
      <x:c r="E4" s="38" t="str">
        <x:v>Variable</x:v>
      </x:c>
      <x:c r="F4" s="38" t="str">
        <x:v>No visible</x:v>
      </x:c>
      <x:c r="G4" s="48" t="n">
        <x:v>69900</x:v>
      </x:c>
      <x:c r="H4" s="48" t="n">
        <x:v>79900</x:v>
      </x:c>
      <x:c r="I4" s="48" t="n">
        <x:f>H4-G4</x:f>
        <x:v>10000</x:v>
      </x:c>
      <x:c r="J4" s="49" t="n">
        <x:f>IF(G4=0,"",I4/G4)</x:f>
        <x:v>0.1430615164520744</x:v>
      </x:c>
      <x:c r="K4" s="110" t="n">
        <x:v>150</x:v>
      </x:c>
      <x:c r="L4" s="110" t="n">
        <x:v>0</x:v>
      </x:c>
      <x:c r="M4" s="38" t="str">
        <x:v>BOGOTA, CALDAS</x:v>
      </x:c>
      <x:c r="N4" s="38" t="n">
        <x:v>5</x:v>
      </x:c>
      <x:c r="O4" s="38" t="str">
        <x:v>Sí</x:v>
      </x:c>
      <x:c r="P4" s="38" t="str">
        <x:v>Sí</x:v>
      </x:c>
      <x:c r="Q4" s="38" t="str">
        <x:v>Específica producto</x:v>
      </x:c>
      <x:c r="R4" s="38" t="str">
        <x:v>Sí</x:v>
      </x:c>
      <x:c r="S4" s="38" t="str">
        <x:v>Sí</x:v>
      </x:c>
      <x:c r="T4" s="38" t="str">
        <x:v>Sí</x:v>
      </x:c>
      <x:c r="U4" s="38" t="str">
        <x:v>No</x:v>
      </x:c>
      <x:c r="V4" s="38" t="str">
        <x:v>Pestaña visible, no abierta</x:v>
      </x:c>
      <x:c r="W4" s="38" t="str">
        <x:v>Pestaña visible, no abierta</x:v>
      </x:c>
      <x:c r="X4" s="38" t="str">
        <x:v>No</x:v>
      </x:c>
      <x:c r="Y4" s="38" t="str">
        <x:v>Producto variable con 3 variantes visibles: Plateado, Rosado y Purpura. Cada variante con existencia 50.</x:v>
      </x:c>
      <x:c r="Z4" s="38" t="str">
        <x:v>Captura 2026-05-28 2.25.52 p. m.</x:v>
      </x:c>
      <x:c r="AB4" s="32" t="str">
        <x:v>Promedio precio proveedor</x:v>
      </x:c>
      <x:c r="AC4" s="48" t="n">
        <x:f>AVERAGE(G2:G20)</x:f>
        <x:v>50826.31578947369</x:v>
      </x:c>
    </x:row>
    <x:row r="5" ht="24" customHeight="1">
      <x:c r="A5" s="38" t="n">
        <x:v>4</x:v>
      </x:c>
      <x:c r="B5" s="38" t="n">
        <x:v>45243</x:v>
      </x:c>
      <x:c r="C5" s="38" t="str">
        <x:v>Organizador De Ropa Y Zapatos Armario</x:v>
      </x:c>
      <x:c r="D5" s="38" t="str">
        <x:v>Hogar</x:v>
      </x:c>
      <x:c r="E5" s="38" t="str">
        <x:v>Simple</x:v>
      </x:c>
      <x:c r="F5" s="38" t="str">
        <x:v>Organizador De RopA Y Zapatos Armario</x:v>
      </x:c>
      <x:c r="G5" s="48" t="n">
        <x:v>59900</x:v>
      </x:c>
      <x:c r="H5" s="48" t="n">
        <x:v>69900</x:v>
      </x:c>
      <x:c r="I5" s="48" t="n">
        <x:f>H5-G5</x:f>
        <x:v>10000</x:v>
      </x:c>
      <x:c r="J5" s="49" t="n">
        <x:f>IF(G5=0,"",I5/G5)</x:f>
        <x:v>0.1669449081803005</x:v>
      </x:c>
      <x:c r="K5" s="110" t="n">
        <x:v>191</x:v>
      </x:c>
      <x:c r="L5" s="110" t="n">
        <x:v>0</x:v>
      </x:c>
      <x:c r="M5" s="38" t="str">
        <x:v>BOGOTA, CALDAS</x:v>
      </x:c>
      <x:c r="N5" s="38" t="n">
        <x:v>4</x:v>
      </x:c>
      <x:c r="O5" s="38" t="str">
        <x:v>Sí</x:v>
      </x:c>
      <x:c r="P5" s="38" t="str">
        <x:v>Sí</x:v>
      </x:c>
      <x:c r="Q5" s="38" t="str">
        <x:v>Específica producto + garantía</x:v>
      </x:c>
      <x:c r="R5" s="38" t="str">
        <x:v>Sí</x:v>
      </x:c>
      <x:c r="S5" s="38" t="str">
        <x:v>No visible</x:v>
      </x:c>
      <x:c r="T5" s="38" t="str">
        <x:v>Sí</x:v>
      </x:c>
      <x:c r="U5" s="38" t="str">
        <x:v>No</x:v>
      </x:c>
      <x:c r="V5" s="38" t="str">
        <x:v>Sí, sección visible</x:v>
      </x:c>
      <x:c r="W5" s="38" t="str">
        <x:v>Pestaña visible, no abierta</x:v>
      </x:c>
      <x:c r="X5" s="38" t="str">
        <x:v>No</x:v>
      </x:c>
      <x:c r="Y5" s="38" t="str">
        <x:v>Descripción específica visible. Menciona almacenamiento, material, características y notas. Se observa encabezado GARANTÍA.</x:v>
      </x:c>
      <x:c r="Z5" s="38" t="str">
        <x:v>Captura 2026-05-28 2.25.47 p. m.</x:v>
      </x:c>
      <x:c r="AB5" s="32" t="str">
        <x:v>Promedio precio sugerido</x:v>
      </x:c>
      <x:c r="AC5" s="48" t="n">
        <x:f>AVERAGE(H2:H20)</x:f>
        <x:v>62621.05263157895</x:v>
      </x:c>
    </x:row>
    <x:row r="6" ht="24" customHeight="1">
      <x:c r="A6" s="38" t="n">
        <x:v>5</x:v>
      </x:c>
      <x:c r="B6" s="38" t="n">
        <x:v>1857589</x:v>
      </x:c>
      <x:c r="C6" s="38" t="str">
        <x:v>Batidora De Mano 7 Velocidades</x:v>
      </x:c>
      <x:c r="D6" s="38" t="str">
        <x:v>Tecnología / Cocina</x:v>
      </x:c>
      <x:c r="E6" s="38" t="str">
        <x:v>Simple</x:v>
      </x:c>
      <x:c r="F6" s="38" t="str">
        <x:v>Batidora De Mano 7 Velocidades</x:v>
      </x:c>
      <x:c r="G6" s="48" t="n">
        <x:v>25400</x:v>
      </x:c>
      <x:c r="H6" s="48" t="n">
        <x:v>35400</x:v>
      </x:c>
      <x:c r="I6" s="48" t="n">
        <x:f>H6-G6</x:f>
        <x:v>10000</x:v>
      </x:c>
      <x:c r="J6" s="49" t="n">
        <x:f>I6/G6</x:f>
        <x:v>0.3937007874015748</x:v>
      </x:c>
      <x:c r="K6" s="110" t="n">
        <x:v>42</x:v>
      </x:c>
      <x:c r="L6" s="110" t="n">
        <x:v>0</x:v>
      </x:c>
      <x:c r="M6" s="38" t="str">
        <x:v>BOGOTA, CALDAS</x:v>
      </x:c>
      <x:c r="N6" s="38" t="n">
        <x:v>4</x:v>
      </x:c>
      <x:c r="O6" s="38" t="str">
        <x:v>Sí</x:v>
      </x:c>
      <x:c r="P6" s="38" t="str">
        <x:v>Sí</x:v>
      </x:c>
      <x:c r="Q6" s="38" t="str">
        <x:v>Específica producto + garantía</x:v>
      </x:c>
      <x:c r="R6" s="38" t="str">
        <x:v>Sí</x:v>
      </x:c>
      <x:c r="S6" s="38" t="str">
        <x:v>No visible</x:v>
      </x:c>
      <x:c r="T6" s="38" t="str">
        <x:v>Sí</x:v>
      </x:c>
      <x:c r="U6" s="38" t="str">
        <x:v>No</x:v>
      </x:c>
      <x:c r="V6" s="38" t="str">
        <x:v>Sí, sección visible</x:v>
      </x:c>
      <x:c r="W6" s="38" t="str">
        <x:v>Pestaña visible, no abierta</x:v>
      </x:c>
      <x:c r="X6" s="38" t="str">
        <x:v>No</x:v>
      </x:c>
      <x:c r="Y6" s="38" t="str">
        <x:v>Descripción específica visible. Menciona 7 velocidades, ganchos, potencia 260w, 110v y uso en cocina. Se observa sección GARANTÍA.</x:v>
      </x:c>
      <x:c r="Z6" s="38" t="str">
        <x:v>Captura 2026-05-28 2.25.38 p. m.</x:v>
      </x:c>
      <x:c r="AA6"/>
      <x:c r="AB6" s="32" t="str">
        <x:v>Promedio % diferencia</x:v>
      </x:c>
      <x:c r="AC6" s="49" t="n">
        <x:f>AVERAGE(J2:J20)</x:f>
        <x:v>0.2996702647850393</x:v>
      </x:c>
    </x:row>
    <x:row r="7" ht="24" customHeight="1">
      <x:c r="A7" s="38" t="n">
        <x:v>6</x:v>
      </x:c>
      <x:c r="B7" s="38" t="n">
        <x:v>152295</x:v>
      </x:c>
      <x:c r="C7" s="38" t="str">
        <x:v>Camara De Seguridad Hd 1080p Espia</x:v>
      </x:c>
      <x:c r="D7" s="38" t="str">
        <x:v>Tecnología</x:v>
      </x:c>
      <x:c r="E7" s="38" t="str">
        <x:v>Simple</x:v>
      </x:c>
      <x:c r="F7" s="38" t="str">
        <x:v>Cámara De Seguridad Hd 1080p Espia</x:v>
      </x:c>
      <x:c r="G7" s="48" t="n">
        <x:v>75900</x:v>
      </x:c>
      <x:c r="H7" s="48" t="n">
        <x:v>95900</x:v>
      </x:c>
      <x:c r="I7" s="48" t="n">
        <x:f>H7-G7</x:f>
        <x:v>20000</x:v>
      </x:c>
      <x:c r="J7" s="49" t="n">
        <x:f>I7/G7</x:f>
        <x:v>0.2635046113306983</x:v>
      </x:c>
      <x:c r="K7" s="110" t="n">
        <x:v>28</x:v>
      </x:c>
      <x:c r="L7" s="110" t="n">
        <x:v>0</x:v>
      </x:c>
      <x:c r="M7" s="38" t="str">
        <x:v>BOGOTA, CALDAS</x:v>
      </x:c>
      <x:c r="N7" s="38" t="n">
        <x:v>2</x:v>
      </x:c>
      <x:c r="O7" s="38" t="str">
        <x:v>Sí</x:v>
      </x:c>
      <x:c r="P7" s="38" t="str">
        <x:v>Sí</x:v>
      </x:c>
      <x:c r="Q7" s="38" t="str">
        <x:v>Específica producto</x:v>
      </x:c>
      <x:c r="R7" s="38" t="str">
        <x:v>Sí</x:v>
      </x:c>
      <x:c r="S7" s="38" t="str">
        <x:v>No visible</x:v>
      </x:c>
      <x:c r="T7" s="38" t="str">
        <x:v>Sí</x:v>
      </x:c>
      <x:c r="U7" s="38" t="str">
        <x:v>No</x:v>
      </x:c>
      <x:c r="V7" s="38" t="str">
        <x:v>Pestaña visible, no abierta</x:v>
      </x:c>
      <x:c r="W7" s="38" t="str">
        <x:v>Pestaña visible, no abierta</x:v>
      </x:c>
      <x:c r="X7" s="38" t="str">
        <x:v>No</x:v>
      </x:c>
      <x:c r="Y7" s="38" t="str">
        <x:v>Descripción específica visible. Menciona visión nocturna, detección de movimiento, calidad de video, visualización remota, grabación en bucle y especificaciones técnicas.</x:v>
      </x:c>
      <x:c r="Z7" s="38" t="str">
        <x:v>Captura 2026-05-28 2.25.27 p. m.</x:v>
      </x:c>
      <x:c r="AA7"/>
      <x:c r="AB7" s="32" t="str">
        <x:v>Productos con stock privado &gt; 0</x:v>
      </x:c>
      <x:c r="AC7" s="38" t="n">
        <x:f>COUNTIF(L2:L20,"&gt;0")</x:f>
        <x:v>0</x:v>
      </x:c>
    </x:row>
    <x:row r="8" ht="24" customHeight="1">
      <x:c r="A8" s="38" t="n">
        <x:v>7</x:v>
      </x:c>
      <x:c r="B8" s="38" t="n">
        <x:v>60000</x:v>
      </x:c>
      <x:c r="C8" s="38" t="str">
        <x:v>Camara 3 Antenas Inalambrica Wifi</x:v>
      </x:c>
      <x:c r="D8" s="38" t="str">
        <x:v>Tecnología</x:v>
      </x:c>
      <x:c r="E8" s="38" t="str">
        <x:v>Simple</x:v>
      </x:c>
      <x:c r="F8" s="38" t="str">
        <x:v>Camara Robotica Inalambrica</x:v>
      </x:c>
      <x:c r="G8" s="48" t="n">
        <x:v>41500</x:v>
      </x:c>
      <x:c r="H8" s="48" t="n">
        <x:v>49900</x:v>
      </x:c>
      <x:c r="I8" s="48" t="n">
        <x:f>H8-G8</x:f>
        <x:v>8400</x:v>
      </x:c>
      <x:c r="J8" s="49" t="n">
        <x:f>I8/G8</x:f>
        <x:v>0.20240963855421687</x:v>
      </x:c>
      <x:c r="K8" s="110" t="n">
        <x:v>13</x:v>
      </x:c>
      <x:c r="L8" s="110" t="n">
        <x:v>0</x:v>
      </x:c>
      <x:c r="M8" s="38" t="str">
        <x:v>BOGOTA, CALDAS</x:v>
      </x:c>
      <x:c r="N8" s="38" t="n">
        <x:v>5</x:v>
      </x:c>
      <x:c r="O8" s="38" t="str">
        <x:v>Sí</x:v>
      </x:c>
      <x:c r="P8" s="38" t="str">
        <x:v>Sí</x:v>
      </x:c>
      <x:c r="Q8" s="38" t="str">
        <x:v>Específica producto + garantía</x:v>
      </x:c>
      <x:c r="R8" s="38" t="str">
        <x:v>Sí</x:v>
      </x:c>
      <x:c r="S8" s="38" t="str">
        <x:v>No visible</x:v>
      </x:c>
      <x:c r="T8" s="38" t="str">
        <x:v>Sí</x:v>
      </x:c>
      <x:c r="U8" s="38" t="str">
        <x:v>No</x:v>
      </x:c>
      <x:c r="V8" s="38" t="str">
        <x:v>Sí, sección visible</x:v>
      </x:c>
      <x:c r="W8" s="38" t="str">
        <x:v>Pestaña visible, no abierta</x:v>
      </x:c>
      <x:c r="X8" s="38" t="str">
        <x:v>No</x:v>
      </x:c>
      <x:c r="Y8" s="38" t="str">
        <x:v>Descripción específica visible. Menciona dimensiones, memoria, protocolo, sensor de imagen, formato de video, lente, resolución, ángulo, PTZ, WiFi, sensor de movimiento y garantía.</x:v>
      </x:c>
      <x:c r="Z8" s="38" t="str">
        <x:v>Captura 2026-05-28 2.25.22 p. m.</x:v>
      </x:c>
      <x:c r="AA8"/>
      <x:c r="AB8" s="32" t="str">
        <x:v>Productos con descripción</x:v>
      </x:c>
      <x:c r="AC8" s="38" t="n">
        <x:f>COUNTIF(O2:O20,"Sí")</x:f>
        <x:v>19</x:v>
      </x:c>
    </x:row>
    <x:row r="9" ht="24" customHeight="1">
      <x:c r="A9" s="38" t="n">
        <x:v>8</x:v>
      </x:c>
      <x:c r="B9" s="38" t="n">
        <x:v>261998</x:v>
      </x:c>
      <x:c r="C9" s="38" t="str">
        <x:v>Organizador De Loza Estante Escurridor</x:v>
      </x:c>
      <x:c r="D9" s="38" t="str">
        <x:v>Cocina</x:v>
      </x:c>
      <x:c r="E9" s="38" t="str">
        <x:v>Simple</x:v>
      </x:c>
      <x:c r="F9" s="38" t="str">
        <x:v>Organizador De Loza Estante Escurridor</x:v>
      </x:c>
      <x:c r="G9" s="48" t="n">
        <x:v>169900</x:v>
      </x:c>
      <x:c r="H9" s="48" t="n">
        <x:v>180000</x:v>
      </x:c>
      <x:c r="I9" s="48" t="n">
        <x:f>H9-G9</x:f>
        <x:v>10100</x:v>
      </x:c>
      <x:c r="J9" s="49" t="n">
        <x:f>I9/G9</x:f>
        <x:v>0.0594467333725721</x:v>
      </x:c>
      <x:c r="K9" s="110" t="n">
        <x:v>600</x:v>
      </x:c>
      <x:c r="L9" s="110" t="n">
        <x:v>0</x:v>
      </x:c>
      <x:c r="M9" s="38" t="str">
        <x:v>BOGOTA, CALDAS</x:v>
      </x:c>
      <x:c r="N9" s="38" t="n">
        <x:v>3</x:v>
      </x:c>
      <x:c r="O9" s="38" t="str">
        <x:v>Sí</x:v>
      </x:c>
      <x:c r="P9" s="38" t="str">
        <x:v>No</x:v>
      </x:c>
      <x:c r="Q9" s="38" t="str">
        <x:v>Específica producto</x:v>
      </x:c>
      <x:c r="R9" s="38" t="str">
        <x:v>Sí</x:v>
      </x:c>
      <x:c r="S9" s="38" t="str">
        <x:v>No visible</x:v>
      </x:c>
      <x:c r="T9" s="38" t="str">
        <x:v>Sí</x:v>
      </x:c>
      <x:c r="U9" s="38" t="str">
        <x:v>No</x:v>
      </x:c>
      <x:c r="V9" s="38" t="str">
        <x:v>Pestaña visible, no abierta</x:v>
      </x:c>
      <x:c r="W9" s="38" t="str">
        <x:v>Pestaña visible, no abierta</x:v>
      </x:c>
      <x:c r="X9" s="38" t="str">
        <x:v>No</x:v>
      </x:c>
      <x:c r="Y9" s="38" t="str">
        <x:v>Descripción específica visible. Menciona medidas 45cm x 6cm x 28cm, diseño ahorrador de espacio, puerta abatible, drenaje y capacidad de almacenamiento.</x:v>
      </x:c>
      <x:c r="Z9" s="38" t="str">
        <x:v>Captura 2026-05-28 2.25.17 p. m.</x:v>
      </x:c>
      <x:c r="AA9"/>
      <x:c r="AB9" s="32" t="str">
        <x:v>Productos con descripción extensa</x:v>
      </x:c>
      <x:c r="AC9" s="38" t="n">
        <x:f>COUNTIF(P2:P20,"Sí")</x:f>
        <x:v>15</x:v>
      </x:c>
    </x:row>
    <x:row r="10" ht="24" customHeight="1">
      <x:c r="A10" s="38" t="n">
        <x:v>9</x:v>
      </x:c>
      <x:c r="B10" s="38" t="n">
        <x:v>1839246</x:v>
      </x:c>
      <x:c r="C10" s="38" t="str">
        <x:v>Destor Inalambrico Juego Raches 40 pcs</x:v>
      </x:c>
      <x:c r="D10" s="38" t="str">
        <x:v>Herramientas</x:v>
      </x:c>
      <x:c r="E10" s="38" t="str">
        <x:v>Simple</x:v>
      </x:c>
      <x:c r="F10" s="38" t="str">
        <x:v>Destornillador inalámbrico + Juego Raches x 40 Piezas</x:v>
      </x:c>
      <x:c r="G10" s="48" t="n">
        <x:v>39000</x:v>
      </x:c>
      <x:c r="H10" s="48" t="n">
        <x:v>50900</x:v>
      </x:c>
      <x:c r="I10" s="48" t="n">
        <x:f>H10-G10</x:f>
        <x:v>11900</x:v>
      </x:c>
      <x:c r="J10" s="49" t="n">
        <x:f>I10/G10</x:f>
        <x:v>0.30512820512820515</x:v>
      </x:c>
      <x:c r="K10" s="110" t="n">
        <x:v>133</x:v>
      </x:c>
      <x:c r="L10" s="110" t="n">
        <x:v>0</x:v>
      </x:c>
      <x:c r="M10" s="38" t="str">
        <x:v>BOGOTA, CALDAS</x:v>
      </x:c>
      <x:c r="N10" s="38" t="n">
        <x:v>5</x:v>
      </x:c>
      <x:c r="O10" s="38" t="str">
        <x:v>Sí</x:v>
      </x:c>
      <x:c r="P10" s="38" t="str">
        <x:v>Sí</x:v>
      </x:c>
      <x:c r="Q10" s="38" t="str">
        <x:v>Específica producto</x:v>
      </x:c>
      <x:c r="R10" s="38" t="str">
        <x:v>Sí</x:v>
      </x:c>
      <x:c r="S10" s="38" t="str">
        <x:v>No visible</x:v>
      </x:c>
      <x:c r="T10" s="38" t="str">
        <x:v>Sí</x:v>
      </x:c>
      <x:c r="U10" s="38" t="str">
        <x:v>No</x:v>
      </x:c>
      <x:c r="V10" s="38" t="str">
        <x:v>Pestaña visible, no abierta</x:v>
      </x:c>
      <x:c r="W10" s="38" t="str">
        <x:v>Pestaña visible, no abierta</x:v>
      </x:c>
      <x:c r="X10" s="38" t="str">
        <x:v>No</x:v>
      </x:c>
      <x:c r="Y10" s="38" t="str">
        <x:v>Descripción específica visible. Menciona herramienta para el hogar, características, recarga, puntas y contenido de compra. El contenido excede el screenshot.</x:v>
      </x:c>
      <x:c r="Z10" s="38" t="str">
        <x:v>Captura 2026-05-28 2.25.12 p. m.</x:v>
      </x:c>
      <x:c r="AB10" s="32" t="str">
        <x:v>Productos con texto genérico repetido</x:v>
      </x:c>
      <x:c r="AC10" s="38" t="n">
        <x:f>COUNTIF(X2:X20,"Sí")</x:f>
        <x:v>0</x:v>
      </x:c>
    </x:row>
    <x:row r="11" ht="24" customHeight="1">
      <x:c r="A11" s="38" t="n">
        <x:v>10</x:v>
      </x:c>
      <x:c r="B11" s="38" t="n">
        <x:v>1033282</x:v>
      </x:c>
      <x:c r="C11" s="38" t="str">
        <x:v>Plancha Mini Viajera Cinta Levanta Bus</x:v>
      </x:c>
      <x:c r="D11" s="38" t="str">
        <x:v>Belleza</x:v>
      </x:c>
      <x:c r="E11" s="38" t="str">
        <x:v>Simple</x:v>
      </x:c>
      <x:c r="F11" s="38" t="str">
        <x:v>Plancha Mini Viajera + Cinta Levanta Busto</x:v>
      </x:c>
      <x:c r="G11" s="48" t="n">
        <x:v>15900</x:v>
      </x:c>
      <x:c r="H11" s="48" t="n">
        <x:v>24900</x:v>
      </x:c>
      <x:c r="I11" s="48" t="n">
        <x:f>H11-G11</x:f>
        <x:v>9000</x:v>
      </x:c>
      <x:c r="J11" s="49" t="n">
        <x:f>I11/G11</x:f>
        <x:v>0.5660377358490566</x:v>
      </x:c>
      <x:c r="K11" s="110" t="n">
        <x:v>99</x:v>
      </x:c>
      <x:c r="L11" s="110" t="n">
        <x:v>0</x:v>
      </x:c>
      <x:c r="M11" s="38" t="str">
        <x:v>BOGOTA, CALDAS</x:v>
      </x:c>
      <x:c r="N11" s="38" t="n">
        <x:v>5</x:v>
      </x:c>
      <x:c r="O11" s="38" t="str">
        <x:v>Sí</x:v>
      </x:c>
      <x:c r="P11" s="38" t="str">
        <x:v>Sí</x:v>
      </x:c>
      <x:c r="Q11" s="38" t="str">
        <x:v>Específica producto / combo</x:v>
      </x:c>
      <x:c r="R11" s="38" t="str">
        <x:v>Sí</x:v>
      </x:c>
      <x:c r="S11" s="38" t="str">
        <x:v>Sí</x:v>
      </x:c>
      <x:c r="T11" s="38" t="str">
        <x:v>Sí</x:v>
      </x:c>
      <x:c r="U11" s="38" t="str">
        <x:v>No</x:v>
      </x:c>
      <x:c r="V11" s="38" t="str">
        <x:v>Pestaña visible, no abierta</x:v>
      </x:c>
      <x:c r="W11" s="38" t="str">
        <x:v>Pestaña visible, no abierta</x:v>
      </x:c>
      <x:c r="X11" s="38" t="str">
        <x:v>No</x:v>
      </x:c>
      <x:c r="Y11" s="38" t="str">
        <x:v>Descripción específica visible. Incluye contenido para plancha mini viajera y cinta levanta busto. Se observan características, potencia, tamaño, voltaje y modo de empleo parcial.</x:v>
      </x:c>
      <x:c r="Z11" s="38" t="str">
        <x:v>Captura 2026-05-28 2.25.07 p. m.</x:v>
      </x:c>
      <x:c r="AB11" s="38" t="str">
        <x:v>Productos simples</x:v>
      </x:c>
      <x:c r="AC11" s="38" t="n">
        <x:f>COUNTIF(E2:E20,"Simple")</x:f>
        <x:v>18</x:v>
      </x:c>
    </x:row>
    <x:row r="12" ht="24" customHeight="1">
      <x:c r="A12" s="38" t="n">
        <x:v>11</x:v>
      </x:c>
      <x:c r="B12" s="38" t="n">
        <x:v>1564427</x:v>
      </x:c>
      <x:c r="C12" s="38" t="str">
        <x:v>Combo Mini Plancha Viajera Rizador</x:v>
      </x:c>
      <x:c r="D12" s="38" t="str">
        <x:v>Belleza</x:v>
      </x:c>
      <x:c r="E12" s="38" t="str">
        <x:v>Simple</x:v>
      </x:c>
      <x:c r="F12" s="38" t="str">
        <x:v>Combo Mini Plancha Viajera + Rizador</x:v>
      </x:c>
      <x:c r="G12" s="48" t="n">
        <x:v>24900</x:v>
      </x:c>
      <x:c r="H12" s="48" t="n">
        <x:v>34900</x:v>
      </x:c>
      <x:c r="I12" s="48" t="n">
        <x:f>H12-G12</x:f>
        <x:v>10000</x:v>
      </x:c>
      <x:c r="J12" s="49" t="n">
        <x:f>I12/G12</x:f>
        <x:v>0.40160642570281124</x:v>
      </x:c>
      <x:c r="K12" s="110" t="n">
        <x:v>197</x:v>
      </x:c>
      <x:c r="L12" s="110" t="n">
        <x:v>0</x:v>
      </x:c>
      <x:c r="M12" s="38" t="str">
        <x:v>BOGOTA, CALDAS</x:v>
      </x:c>
      <x:c r="N12" s="38" t="n">
        <x:v>5</x:v>
      </x:c>
      <x:c r="O12" s="38" t="str">
        <x:v>Sí</x:v>
      </x:c>
      <x:c r="P12" s="38" t="str">
        <x:v>Sí</x:v>
      </x:c>
      <x:c r="Q12" s="38" t="str">
        <x:v>Específica producto / combo</x:v>
      </x:c>
      <x:c r="R12" s="38" t="str">
        <x:v>Sí</x:v>
      </x:c>
      <x:c r="S12" s="38" t="str">
        <x:v>Sí</x:v>
      </x:c>
      <x:c r="T12" s="38" t="str">
        <x:v>Sí</x:v>
      </x:c>
      <x:c r="U12" s="38" t="str">
        <x:v>No</x:v>
      </x:c>
      <x:c r="V12" s="38" t="str">
        <x:v>Pestaña visible, no abierta</x:v>
      </x:c>
      <x:c r="W12" s="38" t="str">
        <x:v>Pestaña visible, no abierta</x:v>
      </x:c>
      <x:c r="X12" s="38" t="str">
        <x:v>No</x:v>
      </x:c>
      <x:c r="Y12" s="38" t="str">
        <x:v>Descripción específica visible. Incluye contenido para plancha mini viajera y pinza rizadora. Se observan características técnicas y descripción de uso.</x:v>
      </x:c>
      <x:c r="Z12" s="38" t="str">
        <x:v>Captura 2026-05-28 2.25.00 p. m.</x:v>
      </x:c>
      <x:c r="AB12" s="38" t="str">
        <x:v>Productos variables</x:v>
      </x:c>
      <x:c r="AC12" s="38" t="n">
        <x:f>COUNTIF(E2:E20,"Variable")</x:f>
        <x:v>1</x:v>
      </x:c>
    </x:row>
    <x:row r="13" ht="24" customHeight="1">
      <x:c r="A13" s="38" t="n">
        <x:v>12</x:v>
      </x:c>
      <x:c r="B13" s="38" t="n">
        <x:v>129064</x:v>
      </x:c>
      <x:c r="C13" s="38" t="str">
        <x:v>Zapatero Cubierta 5 Niveles Con Perchero</x:v>
      </x:c>
      <x:c r="D13" s="38" t="str">
        <x:v>Hogar</x:v>
      </x:c>
      <x:c r="E13" s="38" t="str">
        <x:v>Simple</x:v>
      </x:c>
      <x:c r="F13" s="38" t="str">
        <x:v>5563</x:v>
      </x:c>
      <x:c r="G13" s="48" t="n">
        <x:v>35900</x:v>
      </x:c>
      <x:c r="H13" s="48" t="n">
        <x:v>49900</x:v>
      </x:c>
      <x:c r="I13" s="48" t="n">
        <x:f>H13-G13</x:f>
        <x:v>14000</x:v>
      </x:c>
      <x:c r="J13" s="49" t="n">
        <x:f>I13/G13</x:f>
        <x:v>0.38997214484679665</x:v>
      </x:c>
      <x:c r="K13" s="110" t="n">
        <x:v>289</x:v>
      </x:c>
      <x:c r="L13" s="110" t="n">
        <x:v>0</x:v>
      </x:c>
      <x:c r="M13" s="38" t="str">
        <x:v>BOGOTA, CALDAS</x:v>
      </x:c>
      <x:c r="N13" s="38" t="n">
        <x:v>4</x:v>
      </x:c>
      <x:c r="O13" s="38" t="str">
        <x:v>Sí</x:v>
      </x:c>
      <x:c r="P13" s="38" t="str">
        <x:v>No</x:v>
      </x:c>
      <x:c r="Q13" s="38" t="str">
        <x:v>Específica producto + garantía</x:v>
      </x:c>
      <x:c r="R13" s="38" t="str">
        <x:v>Sí</x:v>
      </x:c>
      <x:c r="S13" s="38" t="str">
        <x:v>No visible</x:v>
      </x:c>
      <x:c r="T13" s="38" t="str">
        <x:v>Sí</x:v>
      </x:c>
      <x:c r="U13" s="38" t="str">
        <x:v>No</x:v>
      </x:c>
      <x:c r="V13" s="38" t="str">
        <x:v>Sí, garantía estándar visible</x:v>
      </x:c>
      <x:c r="W13" s="38" t="str">
        <x:v>Pestaña visible, no abierta</x:v>
      </x:c>
      <x:c r="X13" s="38" t="str">
        <x:v>No</x:v>
      </x:c>
      <x:c r="Y13" s="38" t="str">
        <x:v>Descripción específica visible. Menciona organización de espacio, capacidad, características del producto y garantía estándar.</x:v>
      </x:c>
      <x:c r="Z13" s="38" t="str">
        <x:v>Captura 2026-05-28 2.24.55 p. m.</x:v>
      </x:c>
    </x:row>
    <x:row r="14" ht="24" customHeight="1">
      <x:c r="A14" s="112" t="n">
        <x:v>13</x:v>
      </x:c>
      <x:c r="B14" s="112" t="n">
        <x:v>152589</x:v>
      </x:c>
      <x:c r="C14" s="112" t="str">
        <x:v>Rodillo De Masaje De Cuarzo Rosa</x:v>
      </x:c>
      <x:c r="D14" s="112" t="str">
        <x:v>Belleza</x:v>
      </x:c>
      <x:c r="E14" s="112" t="str">
        <x:v>Simple</x:v>
      </x:c>
      <x:c r="F14" s="112" t="str">
        <x:v>Rodillo de masaje de cuarzo rosa</x:v>
      </x:c>
      <x:c r="G14" s="113" t="n">
        <x:v>34900</x:v>
      </x:c>
      <x:c r="H14" s="113" t="n">
        <x:v>44900</x:v>
      </x:c>
      <x:c r="I14" s="113" t="n">
        <x:f>H14-G14</x:f>
        <x:v>10000</x:v>
      </x:c>
      <x:c r="J14" s="114" t="n">
        <x:f>IF(G14=0,0,I14/G14)</x:f>
        <x:v>0.28653295128939826</x:v>
      </x:c>
      <x:c r="K14" s="115" t="n">
        <x:v>49</x:v>
      </x:c>
      <x:c r="L14" s="115" t="n">
        <x:v>0</x:v>
      </x:c>
      <x:c r="M14" s="112" t="str">
        <x:v>BOGOTA, CALDAS</x:v>
      </x:c>
      <x:c r="N14" s="112" t="n">
        <x:v>2</x:v>
      </x:c>
      <x:c r="O14" s="112" t="str">
        <x:v>Sí</x:v>
      </x:c>
      <x:c r="P14" s="112" t="str">
        <x:v>Sí</x:v>
      </x:c>
      <x:c r="Q14" s="112" t="str">
        <x:v>Específica producto + garantía</x:v>
      </x:c>
      <x:c r="R14" s="112" t="str">
        <x:v>Sí</x:v>
      </x:c>
      <x:c r="S14" s="112" t="str">
        <x:v>No visible</x:v>
      </x:c>
      <x:c r="T14" s="112" t="str">
        <x:v>Sí</x:v>
      </x:c>
      <x:c r="U14" s="112" t="str">
        <x:v>No</x:v>
      </x:c>
      <x:c r="V14" s="112" t="str">
        <x:v>Sí, sección visible</x:v>
      </x:c>
      <x:c r="W14" s="112" t="str">
        <x:v>Pestaña visible, no abierta</x:v>
      </x:c>
      <x:c r="X14" s="112" t="str">
        <x:v>No</x:v>
      </x:c>
      <x:c r="Y14" s="112" t="str">
        <x:v>Descripción específica visible. Menciona masaje facial, cuarzo rosa, beneficios de masaje, rutina de cuidado y garantía.</x:v>
      </x:c>
      <x:c r="Z14" s="112" t="str">
        <x:v>Captura 2026-05-28 2.24.50 p. m.</x:v>
      </x:c>
      <x:c r="AA14" s="112"/>
      <x:c r="AB14" s="112"/>
      <x:c r="AC14" s="112"/>
    </x:row>
    <x:row r="15" ht="24" customHeight="1">
      <x:c r="A15" s="112" t="n">
        <x:v>14</x:v>
      </x:c>
      <x:c r="B15" s="112" t="n">
        <x:v>1894210</x:v>
      </x:c>
      <x:c r="C15" s="112" t="str">
        <x:v>Tv Stick Smart Tv Android</x:v>
      </x:c>
      <x:c r="D15" s="112" t="str">
        <x:v>Tecnología</x:v>
      </x:c>
      <x:c r="E15" s="112" t="str">
        <x:v>Simple</x:v>
      </x:c>
      <x:c r="F15" s="112" t="str">
        <x:v>0003</x:v>
      </x:c>
      <x:c r="G15" s="113" t="n">
        <x:v>49800</x:v>
      </x:c>
      <x:c r="H15" s="113" t="n">
        <x:v>64900</x:v>
      </x:c>
      <x:c r="I15" s="113" t="n">
        <x:f>H15-G15</x:f>
        <x:v>15100</x:v>
      </x:c>
      <x:c r="J15" s="114" t="n">
        <x:f>IF(G15=0,0,I15/G15)</x:f>
        <x:v>0.3032128514056225</x:v>
      </x:c>
      <x:c r="K15" s="115" t="n">
        <x:v>160</x:v>
      </x:c>
      <x:c r="L15" s="115" t="n">
        <x:v>0</x:v>
      </x:c>
      <x:c r="M15" s="112" t="str">
        <x:v>BOGOTA, CALDAS</x:v>
      </x:c>
      <x:c r="N15" s="112" t="n">
        <x:v>4</x:v>
      </x:c>
      <x:c r="O15" s="112" t="str">
        <x:v>Sí</x:v>
      </x:c>
      <x:c r="P15" s="112" t="str">
        <x:v>No</x:v>
      </x:c>
      <x:c r="Q15" s="112" t="str">
        <x:v>Específica producto + garantía</x:v>
      </x:c>
      <x:c r="R15" s="112" t="str">
        <x:v>Sí</x:v>
      </x:c>
      <x:c r="S15" s="112" t="str">
        <x:v>No visible</x:v>
      </x:c>
      <x:c r="T15" s="112" t="str">
        <x:v>Sí</x:v>
      </x:c>
      <x:c r="U15" s="112" t="str">
        <x:v>No</x:v>
      </x:c>
      <x:c r="V15" s="112" t="str">
        <x:v>Sí, sección visible</x:v>
      </x:c>
      <x:c r="W15" s="112" t="str">
        <x:v>Pestaña visible, no abierta</x:v>
      </x:c>
      <x:c r="X15" s="112" t="str">
        <x:v>No</x:v>
      </x:c>
      <x:c r="Y15" s="112" t="str">
        <x:v>Descripción específica visible. Menciona Android TV, HDMI, 4K HDR, WiFi, control remoto estándar, garantía de fábrica y garantía de devolución.</x:v>
      </x:c>
      <x:c r="Z15" s="112" t="str">
        <x:v>Captura 2026-05-28 2.24.44 p. m.</x:v>
      </x:c>
      <x:c r="AA15" s="112"/>
      <x:c r="AB15" s="112"/>
      <x:c r="AC15" s="112"/>
    </x:row>
    <x:row r="16" ht="24" customHeight="1">
      <x:c r="A16" s="112" t="n">
        <x:v>15</x:v>
      </x:c>
      <x:c r="B16" s="112" t="n">
        <x:v>1355125</x:v>
      </x:c>
      <x:c r="C16" s="112" t="str">
        <x:v>Combo Armario 3 Puestos Zapatero 6 Niv</x:v>
      </x:c>
      <x:c r="D16" s="112" t="str">
        <x:v>Hogar</x:v>
      </x:c>
      <x:c r="E16" s="112" t="str">
        <x:v>Simple</x:v>
      </x:c>
      <x:c r="F16" s="112" t="str">
        <x:v>Combo Armario 3 Puestos + Zapatero 6 niveles</x:v>
      </x:c>
      <x:c r="G16" s="113" t="n">
        <x:v>66900</x:v>
      </x:c>
      <x:c r="H16" s="113" t="n">
        <x:v>79900</x:v>
      </x:c>
      <x:c r="I16" s="113" t="n">
        <x:f>H16-G16</x:f>
        <x:v>13000</x:v>
      </x:c>
      <x:c r="J16" s="114" t="n">
        <x:f>IF(G16=0,0,I16/G16)</x:f>
        <x:v>0.19431988041853512</x:v>
      </x:c>
      <x:c r="K16" s="115" t="n">
        <x:v>403</x:v>
      </x:c>
      <x:c r="L16" s="115" t="n">
        <x:v>0</x:v>
      </x:c>
      <x:c r="M16" s="112" t="str">
        <x:v>BOGOTA, CALDAS</x:v>
      </x:c>
      <x:c r="N16" s="112" t="n">
        <x:v>5</x:v>
      </x:c>
      <x:c r="O16" s="112" t="str">
        <x:v>Sí</x:v>
      </x:c>
      <x:c r="P16" s="112" t="str">
        <x:v>Sí</x:v>
      </x:c>
      <x:c r="Q16" s="112" t="str">
        <x:v>Específica producto / combo</x:v>
      </x:c>
      <x:c r="R16" s="112" t="str">
        <x:v>Sí</x:v>
      </x:c>
      <x:c r="S16" s="112" t="str">
        <x:v>No visible</x:v>
      </x:c>
      <x:c r="T16" s="112" t="str">
        <x:v>Sí</x:v>
      </x:c>
      <x:c r="U16" s="112" t="str">
        <x:v>No</x:v>
      </x:c>
      <x:c r="V16" s="112" t="str">
        <x:v>Pestaña visible, no abierta</x:v>
      </x:c>
      <x:c r="W16" s="112" t="str">
        <x:v>Pestaña visible, no abierta</x:v>
      </x:c>
      <x:c r="X16" s="112" t="str">
        <x:v>No</x:v>
      </x:c>
      <x:c r="Y16" s="112" t="str">
        <x:v>Descripción específica visible. Menciona armario de tela, zapatero, materiales, almacenamiento, diseño, montaje y estructura. El contenido excede el screenshot.</x:v>
      </x:c>
      <x:c r="Z16" s="112" t="str">
        <x:v>Captura 2026-05-28 2.24.38 p. m.</x:v>
      </x:c>
      <x:c r="AA16" s="112"/>
      <x:c r="AB16" s="112"/>
      <x:c r="AC16" s="112"/>
    </x:row>
    <x:row r="17" ht="24" customHeight="1">
      <x:c r="A17" s="112" t="n">
        <x:v>16</x:v>
      </x:c>
      <x:c r="B17" s="112" t="n">
        <x:v>492024</x:v>
      </x:c>
      <x:c r="C17" s="112" t="str">
        <x:v>Porta Comida Recipiente Hermetico</x:v>
      </x:c>
      <x:c r="D17" s="112" t="str">
        <x:v>Cocina</x:v>
      </x:c>
      <x:c r="E17" s="112" t="str">
        <x:v>Simple</x:v>
      </x:c>
      <x:c r="F17" s="112" t="str">
        <x:v>Porta Comida Recipiente Hermetico</x:v>
      </x:c>
      <x:c r="G17" s="113" t="n">
        <x:v>52900</x:v>
      </x:c>
      <x:c r="H17" s="113" t="n">
        <x:v>59900</x:v>
      </x:c>
      <x:c r="I17" s="113" t="n">
        <x:f>H17-G17</x:f>
        <x:v>7000</x:v>
      </x:c>
      <x:c r="J17" s="114" t="n">
        <x:f>IF(G17=0,0,I17/G17)</x:f>
        <x:v>0.1323251417769376</x:v>
      </x:c>
      <x:c r="K17" s="115" t="n">
        <x:v>100</x:v>
      </x:c>
      <x:c r="L17" s="115" t="n">
        <x:v>0</x:v>
      </x:c>
      <x:c r="M17" s="112" t="str">
        <x:v>BOGOTA, CALDAS</x:v>
      </x:c>
      <x:c r="N17" s="112" t="n">
        <x:v>4</x:v>
      </x:c>
      <x:c r="O17" s="112" t="str">
        <x:v>Sí</x:v>
      </x:c>
      <x:c r="P17" s="112" t="str">
        <x:v>Sí</x:v>
      </x:c>
      <x:c r="Q17" s="112" t="str">
        <x:v>Específica producto + garantía</x:v>
      </x:c>
      <x:c r="R17" s="112" t="str">
        <x:v>Sí</x:v>
      </x:c>
      <x:c r="S17" s="112" t="str">
        <x:v>No visible</x:v>
      </x:c>
      <x:c r="T17" s="112" t="str">
        <x:v>Sí</x:v>
      </x:c>
      <x:c r="U17" s="112" t="str">
        <x:v>No</x:v>
      </x:c>
      <x:c r="V17" s="112" t="str">
        <x:v>Sí, sección visible</x:v>
      </x:c>
      <x:c r="W17" s="112" t="str">
        <x:v>Pestaña visible, no abierta</x:v>
      </x:c>
      <x:c r="X17" s="112" t="str">
        <x:v>No</x:v>
      </x:c>
      <x:c r="Y17" s="112" t="str">
        <x:v>Descripción específica visible. Menciona recipientes plegables, usos, silicona, características, medidas, contenido del paquete y garantía.</x:v>
      </x:c>
      <x:c r="Z17" s="112" t="str">
        <x:v>Captura 2026-05-28 2.24.33 p. m.</x:v>
      </x:c>
      <x:c r="AA17" s="112"/>
      <x:c r="AB17" s="112"/>
      <x:c r="AC17" s="112"/>
    </x:row>
    <x:row r="18" ht="24" customHeight="1">
      <x:c r="A18" s="38" t="n">
        <x:v>17</x:v>
      </x:c>
      <x:c r="B18" s="38" t="n">
        <x:v>1834307</x:v>
      </x:c>
      <x:c r="C18" s="38" t="str">
        <x:v>Set Cepillo Secador 5en1 Voluminizador</x:v>
      </x:c>
      <x:c r="D18" s="38" t="str">
        <x:v>Tecnología / Belleza</x:v>
      </x:c>
      <x:c r="E18" s="38" t="str">
        <x:v>Simple</x:v>
      </x:c>
      <x:c r="F18" s="38" t="str">
        <x:v>Set Cepillo Secador 5n 1 + Voluminizador</x:v>
      </x:c>
      <x:c r="G18" s="48" t="n">
        <x:v>66900</x:v>
      </x:c>
      <x:c r="H18" s="48" t="n">
        <x:v>89900</x:v>
      </x:c>
      <x:c r="I18" s="48" t="n">
        <x:f>H18-G18</x:f>
        <x:v>23000</x:v>
      </x:c>
      <x:c r="J18" s="49" t="n">
        <x:f>IFERROR(I18/G18,0)</x:f>
        <x:v>0.34379671150971597</x:v>
      </x:c>
      <x:c r="K18" s="110" t="n">
        <x:v>49</x:v>
      </x:c>
      <x:c r="L18" s="110" t="n">
        <x:v>0</x:v>
      </x:c>
      <x:c r="M18" s="38" t="str">
        <x:v>BOGOTA, CALDAS</x:v>
      </x:c>
      <x:c r="N18" s="38" t="n">
        <x:v>5</x:v>
      </x:c>
      <x:c r="O18" s="38" t="str">
        <x:v>Sí</x:v>
      </x:c>
      <x:c r="P18" s="38" t="str">
        <x:v>Sí</x:v>
      </x:c>
      <x:c r="Q18" s="38" t="str">
        <x:v>Específica producto</x:v>
      </x:c>
      <x:c r="R18" s="38" t="str">
        <x:v>Sí</x:v>
      </x:c>
      <x:c r="S18" s="38" t="str">
        <x:v>No visible</x:v>
      </x:c>
      <x:c r="T18" s="38" t="str">
        <x:v>Sí</x:v>
      </x:c>
      <x:c r="U18" s="38" t="str">
        <x:v>No</x:v>
      </x:c>
      <x:c r="V18" s="38" t="str">
        <x:v>Pestaña visible, no abierta</x:v>
      </x:c>
      <x:c r="W18" s="38" t="str">
        <x:v>Pestaña visible, no abierta</x:v>
      </x:c>
      <x:c r="X18" s="38" t="str">
        <x:v>No</x:v>
      </x:c>
      <x:c r="Y18" s="38" t="str">
        <x:v>Descripción específica visible. Menciona especificaciones: voltaje, potencia nominal, temperatura, longitud, material, niveles, contenido del paquete y descripción de uso. El contenido excede el screenshot.</x:v>
      </x:c>
      <x:c r="Z18" s="38" t="str">
        <x:v>Captura 2026-05-28 2.24.27 p. m.</x:v>
      </x:c>
    </x:row>
    <x:row r="19" ht="24" customHeight="1">
      <x:c r="A19" s="38" t="n">
        <x:v>18</x:v>
      </x:c>
      <x:c r="B19" s="38" t="n">
        <x:v>190384</x:v>
      </x:c>
      <x:c r="C19" s="38" t="str">
        <x:v>Camara Mini Espia Wifi De Seguridad A9</x:v>
      </x:c>
      <x:c r="D19" s="38" t="str">
        <x:v>Tecnología / Otro</x:v>
      </x:c>
      <x:c r="E19" s="38" t="str">
        <x:v>Simple</x:v>
      </x:c>
      <x:c r="F19" s="38" t="str">
        <x:v>Cámara de seguridad Mini</x:v>
      </x:c>
      <x:c r="G19" s="48" t="n">
        <x:v>11400</x:v>
      </x:c>
      <x:c r="H19" s="48" t="n">
        <x:v>18900</x:v>
      </x:c>
      <x:c r="I19" s="48" t="n">
        <x:f>H19-G19</x:f>
        <x:v>7500</x:v>
      </x:c>
      <x:c r="J19" s="49" t="n">
        <x:f>IFERROR(I19/G19,0)</x:f>
        <x:v>0.6578947368421053</x:v>
      </x:c>
      <x:c r="K19" s="110" t="n">
        <x:v>451</x:v>
      </x:c>
      <x:c r="L19" s="110" t="n">
        <x:v>0</x:v>
      </x:c>
      <x:c r="M19" s="38" t="str">
        <x:v>BOGOTA, CALDAS</x:v>
      </x:c>
      <x:c r="N19" s="38" t="n">
        <x:v>4</x:v>
      </x:c>
      <x:c r="O19" s="38" t="str">
        <x:v>Sí</x:v>
      </x:c>
      <x:c r="P19" s="38" t="str">
        <x:v>Sí</x:v>
      </x:c>
      <x:c r="Q19" s="38" t="str">
        <x:v>Específica producto + garantía</x:v>
      </x:c>
      <x:c r="R19" s="38" t="str">
        <x:v>Sí</x:v>
      </x:c>
      <x:c r="S19" s="38" t="str">
        <x:v>No visible</x:v>
      </x:c>
      <x:c r="T19" s="38" t="str">
        <x:v>Sí</x:v>
      </x:c>
      <x:c r="U19" s="38" t="str">
        <x:v>No</x:v>
      </x:c>
      <x:c r="V19" s="38" t="str">
        <x:v>Sí, sección visible</x:v>
      </x:c>
      <x:c r="W19" s="38" t="str">
        <x:v>Pestaña visible, no abierta</x:v>
      </x:c>
      <x:c r="X19" s="38" t="str">
        <x:v>No</x:v>
      </x:c>
      <x:c r="Y19" s="38" t="str">
        <x:v>Descripción específica visible. Menciona cámara A9, resolución 2MP, visión nocturna, seguridad del hogar o negocio y garantía. El contenido visible llega hasta sección GARANTÍA.</x:v>
      </x:c>
      <x:c r="Z19" s="38" t="str">
        <x:v>Captura 2026-05-28 2.24.21 p. m.</x:v>
      </x:c>
    </x:row>
    <x:row r="20" ht="24" customHeight="1">
      <x:c r="A20" s="38" t="n">
        <x:v>19</x:v>
      </x:c>
      <x:c r="B20" s="38" t="n">
        <x:v>765003</x:v>
      </x:c>
      <x:c r="C20" s="38" t="str">
        <x:v>Combo Hidrolavadorasaspiradora Porta 2ba</x:v>
      </x:c>
      <x:c r="D20" s="38" t="str">
        <x:v>Tecnología / Hogar / Vehículos / Herramientas</x:v>
      </x:c>
      <x:c r="E20" s="38" t="str">
        <x:v>Simple</x:v>
      </x:c>
      <x:c r="F20" s="38" t="str">
        <x:v>Combo Hidrolavadora + Aspiradora Portatil</x:v>
      </x:c>
      <x:c r="G20" s="48" t="n">
        <x:v>54900</x:v>
      </x:c>
      <x:c r="H20" s="48" t="n">
        <x:v>69900</x:v>
      </x:c>
      <x:c r="I20" s="48" t="n">
        <x:f>H20-G20</x:f>
        <x:v>15000</x:v>
      </x:c>
      <x:c r="J20" s="49" t="n">
        <x:f>IFERROR(I20/G20,0)</x:f>
        <x:v>0.273224043715847</x:v>
      </x:c>
      <x:c r="K20" s="110" t="n">
        <x:v>760</x:v>
      </x:c>
      <x:c r="L20" s="110" t="n">
        <x:v>0</x:v>
      </x:c>
      <x:c r="M20" s="38" t="str">
        <x:v>BOGOTA, CALDAS</x:v>
      </x:c>
      <x:c r="N20" s="38" t="n">
        <x:v>5</x:v>
      </x:c>
      <x:c r="O20" s="38" t="str">
        <x:v>Sí</x:v>
      </x:c>
      <x:c r="P20" s="38" t="str">
        <x:v>Sí</x:v>
      </x:c>
      <x:c r="Q20" s="38" t="str">
        <x:v>Específica producto / combo</x:v>
      </x:c>
      <x:c r="R20" s="38" t="str">
        <x:v>Sí</x:v>
      </x:c>
      <x:c r="S20" s="38" t="str">
        <x:v>Sí</x:v>
      </x:c>
      <x:c r="T20" s="38" t="str">
        <x:v>Sí</x:v>
      </x:c>
      <x:c r="U20" s="38" t="str">
        <x:v>No</x:v>
      </x:c>
      <x:c r="V20" s="38" t="str">
        <x:v>Pestaña visible, no abierta</x:v>
      </x:c>
      <x:c r="W20" s="38" t="str">
        <x:v>Pestaña visible, no abierta</x:v>
      </x:c>
      <x:c r="X20" s="38" t="str">
        <x:v>No</x:v>
      </x:c>
      <x:c r="Y20" s="38" t="str">
        <x:v>Descripción específica visible. Incluye nota logística: no se puede enviar por transportadora Coordinadora por volumen. Menciona hidrolavadora inalámbrica portátil y aspiradora portátil 2 en 1 recargable. El contenido excede el screenshot.</x:v>
      </x:c>
      <x:c r="Z20" s="38" t="str">
        <x:v>Captura 2026-05-28 2.24.03 p. m.</x:v>
      </x:c>
    </x:row>
    <x:row r="21" ht="24" customHeight="1"/>
    <x:row r="22" ht="24" customHeight="1"/>
    <x:row r="23" ht="24" customHeight="1"/>
    <x:row r="24" ht="24" customHeight="1"/>
    <x:row r="25" ht="24" customHeight="1"/>
    <x:row r="26" ht="24" customHeight="1"/>
    <x:row r="27" ht="24" customHeight="1"/>
    <x:row r="28" ht="24" customHeight="1"/>
    <x:row r="29" ht="24" customHeight="1"/>
    <x:row r="30" ht="24" customHeight="1"/>
    <x:row r="31" ht="24" customHeight="1"/>
    <x:row r="32" ht="24" customHeight="1"/>
    <x:row r="33" ht="24" customHeight="1"/>
    <x:row r="34" ht="24" customHeight="1"/>
    <x:row r="35" ht="24" customHeight="1"/>
    <x:row r="36" ht="24" customHeight="1"/>
    <x:row r="37" ht="24" customHeight="1"/>
    <x:row r="38" ht="24" customHeight="1"/>
    <x:row r="39" ht="24" customHeight="1"/>
    <x:row r="40" ht="24" customHeight="1"/>
    <x:row r="41" ht="24" customHeight="1"/>
    <x:row r="42" ht="24" customHeight="1"/>
    <x:row r="43" ht="24" customHeight="1"/>
    <x:row r="44" ht="24" customHeight="1"/>
    <x:row r="45" ht="24" customHeight="1"/>
    <x:row r="46" ht="24" customHeight="1"/>
    <x:row r="47" ht="24" customHeight="1"/>
    <x:row r="48" ht="24" customHeight="1"/>
    <x:row r="49" ht="24" customHeight="1"/>
    <x:row r="50" ht="24" customHeight="1"/>
    <x:row r="51" ht="24" customHeight="1"/>
    <x:row r="52" ht="24" customHeight="1"/>
    <x:row r="53" ht="24" customHeight="1"/>
    <x:row r="54" ht="24" customHeight="1"/>
    <x:row r="55" ht="24" customHeight="1"/>
    <x:row r="56" ht="24" customHeight="1"/>
    <x:row r="57" ht="24" customHeight="1"/>
    <x:row r="58" ht="24" customHeight="1"/>
    <x:row r="59" ht="24" customHeight="1"/>
    <x:row r="60" ht="24" customHeight="1"/>
    <x:row r="61" ht="24" customHeight="1"/>
    <x:row r="62" ht="24" customHeight="1"/>
    <x:row r="63" ht="24" customHeight="1"/>
    <x:row r="64" ht="24" customHeight="1"/>
    <x:row r="65" ht="24" customHeight="1"/>
    <x:row r="66" ht="24" customHeight="1"/>
    <x:row r="67" ht="24" customHeight="1"/>
    <x:row r="68" ht="24" customHeight="1"/>
    <x:row r="69" ht="24" customHeight="1"/>
    <x:row r="70" ht="24" customHeight="1"/>
    <x:row r="71" ht="24" customHeight="1"/>
    <x:row r="72" ht="24" customHeight="1"/>
    <x:row r="73" ht="24" customHeight="1"/>
    <x:row r="74" ht="24" customHeight="1"/>
    <x:row r="75" ht="24" customHeight="1"/>
    <x:row r="76" ht="24" customHeight="1"/>
    <x:row r="77" ht="24" customHeight="1"/>
    <x:row r="78" ht="24" customHeight="1"/>
    <x:row r="79" ht="24" customHeight="1"/>
    <x:row r="80" ht="24" customHeight="1"/>
    <x:row r="81" ht="24" customHeight="1"/>
    <x:row r="82" ht="24" customHeight="1"/>
    <x:row r="83" ht="24" customHeight="1"/>
    <x:row r="84" ht="24" customHeight="1"/>
    <x:row r="85" ht="24" customHeight="1"/>
    <x:row r="86" ht="24" customHeight="1"/>
    <x:row r="87" ht="24" customHeight="1"/>
    <x:row r="88" ht="24" customHeight="1"/>
    <x:row r="89" ht="24" customHeight="1"/>
    <x:row r="90" ht="24" customHeight="1"/>
    <x:row r="91" ht="24" customHeight="1"/>
    <x:row r="92" ht="24" customHeight="1"/>
    <x:row r="93" ht="24" customHeight="1"/>
    <x:row r="94" ht="24" customHeight="1"/>
    <x:row r="95" ht="24" customHeight="1"/>
    <x:row r="96" ht="24" customHeight="1"/>
    <x:row r="97" ht="24" customHeight="1"/>
    <x:row r="98" ht="24" customHeight="1"/>
    <x:row r="99" ht="24" customHeight="1"/>
    <x:row r="100" ht="24" customHeight="1"/>
  </x:sheetData>
  <x:mergeCells>
    <x:mergeCell ref="AB1:AF1"/>
  </x:mergeCells>
  <x:conditionalFormatting sqref="O2:O11">
    <x:cfRule type="expression" dxfId="0" priority="1">
      <x:formula>$O2="Sí"</x:formula>
    </x:cfRule>
    <x:cfRule type="expression" dxfId="1" priority="2">
      <x:formula>$O2="No"</x:formula>
    </x:cfRule>
  </x:conditionalFormatting>
  <x:conditionalFormatting sqref="P2:P11">
    <x:cfRule type="expression" dxfId="2" priority="3">
      <x:formula>$P2="Sí"</x:formula>
    </x:cfRule>
    <x:cfRule type="expression" dxfId="3" priority="4">
      <x:formula>$P2="No"</x:formula>
    </x:cfRule>
  </x:conditionalFormatting>
  <x:conditionalFormatting sqref="R2:R11">
    <x:cfRule type="expression" dxfId="4" priority="5">
      <x:formula>$R2="Sí"</x:formula>
    </x:cfRule>
    <x:cfRule type="expression" dxfId="5" priority="6">
      <x:formula>$R2="No"</x:formula>
    </x:cfRule>
  </x:conditionalFormatting>
  <x:conditionalFormatting sqref="S2:S11">
    <x:cfRule type="expression" dxfId="6" priority="7">
      <x:formula>$S2="Sí"</x:formula>
    </x:cfRule>
    <x:cfRule type="expression" dxfId="7" priority="8">
      <x:formula>$S2="No"</x:formula>
    </x:cfRule>
  </x:conditionalFormatting>
  <x:conditionalFormatting sqref="T2:T11">
    <x:cfRule type="expression" dxfId="8" priority="9">
      <x:formula>$T2="Sí"</x:formula>
    </x:cfRule>
    <x:cfRule type="expression" dxfId="9" priority="10">
      <x:formula>$T2="No"</x:formula>
    </x:cfRule>
  </x:conditionalFormatting>
  <x:conditionalFormatting sqref="U2:U11">
    <x:cfRule type="expression" dxfId="10" priority="11">
      <x:formula>$U2="Sí"</x:formula>
    </x:cfRule>
    <x:cfRule type="expression" dxfId="11" priority="12">
      <x:formula>$U2="No"</x:formula>
    </x:cfRule>
  </x:conditionalFormatting>
  <x:conditionalFormatting sqref="V2:V11">
    <x:cfRule type="expression" dxfId="12" priority="13">
      <x:formula>$V2="Sí"</x:formula>
    </x:cfRule>
    <x:cfRule type="expression" dxfId="13" priority="14">
      <x:formula>$V2="No"</x:formula>
    </x:cfRule>
  </x:conditionalFormatting>
  <x:conditionalFormatting sqref="W2:W11">
    <x:cfRule type="expression" dxfId="14" priority="15">
      <x:formula>$W2="Sí"</x:formula>
    </x:cfRule>
    <x:cfRule type="expression" dxfId="15" priority="16">
      <x:formula>$W2="No"</x:formula>
    </x:cfRule>
  </x:conditionalFormatting>
  <x:conditionalFormatting sqref="X2:X11">
    <x:cfRule type="expression" dxfId="16" priority="17">
      <x:formula>$X2="Sí"</x:formula>
    </x:cfRule>
    <x:cfRule type="expression" dxfId="17" priority="18">
      <x:formula>$X2="No"</x:formula>
    </x:cfRule>
  </x:conditionalFormatting>
  <x:dataValidations count="11">
    <x:dataValidation type="list" sqref="O2:O11">
      <x:formula1>"Sí,No,No visible,Parcial"</x:formula1>
    </x:dataValidation>
    <x:dataValidation type="list" sqref="P2:P11">
      <x:formula1>"Sí,No,No visible,Parcial"</x:formula1>
    </x:dataValidation>
    <x:dataValidation type="list" sqref="R2:R11">
      <x:formula1>"Sí,No,No visible,Parcial"</x:formula1>
    </x:dataValidation>
    <x:dataValidation type="list" sqref="S2:S11">
      <x:formula1>"Sí,No,No visible,Parcial"</x:formula1>
    </x:dataValidation>
    <x:dataValidation type="list" sqref="T2:T11">
      <x:formula1>"Sí,No,No visible,Parcial"</x:formula1>
    </x:dataValidation>
    <x:dataValidation type="list" sqref="U2:U11">
      <x:formula1>"Sí,No,No visible,Parcial"</x:formula1>
    </x:dataValidation>
    <x:dataValidation type="list" sqref="V2:V11">
      <x:formula1>"Sí,No,No visible,Parcial"</x:formula1>
    </x:dataValidation>
    <x:dataValidation type="list" sqref="W2:W11">
      <x:formula1>"Sí,No,No visible,Parcial"</x:formula1>
    </x:dataValidation>
    <x:dataValidation type="list" sqref="X2:X11">
      <x:formula1>"Sí,No,No visible,Parcial"</x:formula1>
    </x:dataValidation>
    <x:dataValidation type="list" sqref="E2:E11">
      <x:formula1>"Simple,Variable,No visible"</x:formula1>
    </x:dataValidation>
    <x:dataValidation type="list" sqref="Q2:Q11">
      <x:formula1>"Sin descripción,Genérica proveedor,Específica producto,Garantías,Mixta,No visible"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0e925d531641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3" hidden="0" customWidth="1"/>
    <x:col min="8" max="8" width="13" hidden="0" customWidth="1"/>
    <x:col min="9" max="9" width="28" hidden="0" customWidth="1"/>
    <x:col min="10" max="10" width="14" hidden="0" customWidth="1"/>
  </x:cols>
  <x:sheetData>
    <x:row r="1" ht="24" customHeight="1">
      <x:c r="A1" s="70" t="str">
        <x:v>#</x:v>
      </x:c>
      <x:c r="B1" s="70" t="str">
        <x:v>Nombre producto visible</x:v>
      </x:c>
      <x:c r="C1" s="70" t="str">
        <x:v>Categoría visible</x:v>
      </x:c>
      <x:c r="D1" s="70" t="str">
        <x:v>Precio proveedor</x:v>
      </x:c>
      <x:c r="E1" s="70" t="str">
        <x:v>Precio sugerido</x:v>
      </x:c>
      <x:c r="F1" s="70" t="str">
        <x:v>Stock visible</x:v>
      </x:c>
      <x:c r="G1" s="70" t="str">
        <x:v>Etiqueta visible</x:v>
      </x:c>
      <x:c r="H1" s="70" t="str">
        <x:v>Tipo visible</x:v>
      </x:c>
      <x:c r="I1" s="70" t="str">
        <x:v>Observación cruda</x:v>
      </x:c>
      <x:c r="J1" s="70" t="str">
        <x:v>Pantallazo fuente</x:v>
      </x:c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  <x:c r="Z1" s="59"/>
      <x:c r="AA1" s="59"/>
      <x:c r="AB1" s="59"/>
      <x:c r="AC1" s="59"/>
      <x:c r="AD1" s="59"/>
      <x:c r="AE1" s="59"/>
      <x:c r="AF1" s="59"/>
    </x:row>
    <x:row r="2" ht="24" customHeight="1">
      <x:c r="A2" s="38" t="n">
        <x:v>1</x:v>
      </x:c>
      <x:c r="B2" s="38" t="str">
        <x:v>Aspiradora Portatil Vertical Mano</x:v>
      </x:c>
      <x:c r="C2" s="38" t="str">
        <x:v>Hogar</x:v>
      </x:c>
      <x:c r="D2" s="48" t="n">
        <x:v>40900</x:v>
      </x:c>
      <x:c r="E2" s="48" t="n">
        <x:v>59900</x:v>
      </x:c>
      <x:c r="F2" s="40" t="n">
        <x:v>176</x:v>
      </x:c>
      <x:c r="G2" s="38" t="str">
        <x:v>Exclusivo</x:v>
      </x:c>
      <x:c r="H2" s="38" t="str">
        <x:v>No visible</x:v>
      </x:c>
      <x:c r="I2" s="38" t="str"/>
      <x:c r="J2" s="38" t="str">
        <x:v>2.20.02</x:v>
      </x:c>
    </x:row>
    <x:row r="3" ht="24" customHeight="1">
      <x:c r="A3" s="38" t="n">
        <x:v>2</x:v>
      </x:c>
      <x:c r="B3" s="38" t="str">
        <x:v>Dermapen Tratamiento De Acne Cicatrices</x:v>
      </x:c>
      <x:c r="C3" s="38" t="str">
        <x:v>Tecnología</x:v>
      </x:c>
      <x:c r="D3" s="48" t="n">
        <x:v>64900</x:v>
      </x:c>
      <x:c r="E3" s="48" t="n">
        <x:v>85900</x:v>
      </x:c>
      <x:c r="F3" s="40" t="n">
        <x:v>179</x:v>
      </x:c>
      <x:c r="G3" s="38" t="str">
        <x:v>Exclusivo</x:v>
      </x:c>
      <x:c r="H3" s="38" t="str">
        <x:v>No visible</x:v>
      </x:c>
      <x:c r="I3" s="38" t="str"/>
      <x:c r="J3" s="38" t="str">
        <x:v>2.20.02</x:v>
      </x:c>
    </x:row>
    <x:row r="4" ht="24" customHeight="1">
      <x:c r="A4" s="38" t="n">
        <x:v>3</x:v>
      </x:c>
      <x:c r="B4" s="38" t="str">
        <x:v>Inflable Salvavidas Cola De Sirena</x:v>
      </x:c>
      <x:c r="C4" s="38" t="str">
        <x:v>Juguetería</x:v>
      </x:c>
      <x:c r="D4" s="48" t="n">
        <x:v>37900</x:v>
      </x:c>
      <x:c r="E4" s="48" t="n">
        <x:v>47900</x:v>
      </x:c>
      <x:c r="F4" s="40" t="n">
        <x:v>50</x:v>
      </x:c>
      <x:c r="G4" s="38" t="str">
        <x:v>Exclusivo</x:v>
      </x:c>
      <x:c r="H4" s="38" t="str">
        <x:v>No visible</x:v>
      </x:c>
      <x:c r="I4" s="38" t="str"/>
      <x:c r="J4" s="38" t="str">
        <x:v>2.20.02</x:v>
      </x:c>
    </x:row>
    <x:row r="5" ht="24" customHeight="1">
      <x:c r="A5" s="38" t="n">
        <x:v>4</x:v>
      </x:c>
      <x:c r="B5" s="38" t="str">
        <x:v>Pelota Bola Inteligente Para Gatos Perro</x:v>
      </x:c>
      <x:c r="C5" s="38" t="str">
        <x:v>Mascotas</x:v>
      </x:c>
      <x:c r="D5" s="48" t="n">
        <x:v>13900</x:v>
      </x:c>
      <x:c r="E5" s="48" t="n">
        <x:v>27800</x:v>
      </x:c>
      <x:c r="F5" s="40" t="n">
        <x:v>72</x:v>
      </x:c>
      <x:c r="G5" s="38" t="str">
        <x:v>Exclusivo</x:v>
      </x:c>
      <x:c r="H5" s="38" t="str">
        <x:v>Variable</x:v>
      </x:c>
      <x:c r="I5" s="38" t="str"/>
      <x:c r="J5" s="38" t="str">
        <x:v>2.20.02</x:v>
      </x:c>
    </x:row>
    <x:row r="6" ht="24" customHeight="1">
      <x:c r="A6" s="38" t="n">
        <x:v>5</x:v>
      </x:c>
      <x:c r="B6" s="38" t="str">
        <x:v>Organizador Multifuncional Rack Zapatero</x:v>
      </x:c>
      <x:c r="C6" s="38" t="str">
        <x:v>Aseo</x:v>
      </x:c>
      <x:c r="D6" s="48" t="n">
        <x:v>44900</x:v>
      </x:c>
      <x:c r="E6" s="48" t="n">
        <x:v>49900</x:v>
      </x:c>
      <x:c r="F6" s="40" t="n">
        <x:v>296</x:v>
      </x:c>
      <x:c r="G6" s="38" t="str">
        <x:v>Exclusivo</x:v>
      </x:c>
      <x:c r="H6" s="38" t="str">
        <x:v>No visible</x:v>
      </x:c>
      <x:c r="I6" s="38" t="str"/>
      <x:c r="J6" s="38" t="str">
        <x:v>2.20.02</x:v>
      </x:c>
    </x:row>
    <x:row r="7" ht="24" customHeight="1">
      <x:c r="A7" s="38" t="n">
        <x:v>6</x:v>
      </x:c>
      <x:c r="B7" s="38" t="str">
        <x:v>Organizador De Ropa Y Zapatos Armario</x:v>
      </x:c>
      <x:c r="C7" s="38" t="str">
        <x:v>Hogar</x:v>
      </x:c>
      <x:c r="D7" s="48" t="n">
        <x:v>59900</x:v>
      </x:c>
      <x:c r="E7" s="48" t="n">
        <x:v>69900</x:v>
      </x:c>
      <x:c r="F7" s="40" t="n">
        <x:v>189</x:v>
      </x:c>
      <x:c r="G7" s="38" t="str">
        <x:v>Exclusivo</x:v>
      </x:c>
      <x:c r="H7" s="38" t="str">
        <x:v>No visible</x:v>
      </x:c>
      <x:c r="I7" s="38" t="str"/>
      <x:c r="J7" s="38" t="str">
        <x:v>2.20.02</x:v>
      </x:c>
    </x:row>
    <x:row r="8" ht="24" customHeight="1">
      <x:c r="A8" s="38" t="n">
        <x:v>7</x:v>
      </x:c>
      <x:c r="B8" s="38" t="str">
        <x:v>Tablero Digital Magico Led 12 Pulgadas</x:v>
      </x:c>
      <x:c r="C8" s="38" t="str">
        <x:v>Juguetería</x:v>
      </x:c>
      <x:c r="D8" s="48" t="n">
        <x:v>17900</x:v>
      </x:c>
      <x:c r="E8" s="48" t="n">
        <x:v>19900</x:v>
      </x:c>
      <x:c r="F8" s="40" t="n">
        <x:v>208</x:v>
      </x:c>
      <x:c r="G8" s="38" t="str">
        <x:v>Exclusivo</x:v>
      </x:c>
      <x:c r="H8" s="38" t="str">
        <x:v>No visible</x:v>
      </x:c>
      <x:c r="I8" s="38" t="str">
        <x:v>Variante visible: Blue</x:v>
      </x:c>
      <x:c r="J8" s="38" t="str">
        <x:v>2.20.02</x:v>
      </x:c>
    </x:row>
    <x:row r="9" ht="24" customHeight="1">
      <x:c r="A9" s="38" t="n">
        <x:v>8</x:v>
      </x:c>
      <x:c r="B9" s="38" t="str">
        <x:v>Kit Ejercitador Hand Grip Mano Muñeca</x:v>
      </x:c>
      <x:c r="C9" s="38" t="str">
        <x:v>Deportes</x:v>
      </x:c>
      <x:c r="D9" s="48" t="n">
        <x:v>16900</x:v>
      </x:c>
      <x:c r="E9" s="48" t="n">
        <x:v>22900</x:v>
      </x:c>
      <x:c r="F9" s="40" t="n">
        <x:v>78</x:v>
      </x:c>
      <x:c r="G9" s="38" t="str">
        <x:v>Exclusivo</x:v>
      </x:c>
      <x:c r="H9" s="38" t="str">
        <x:v>Variable</x:v>
      </x:c>
      <x:c r="I9" s="38" t="str"/>
      <x:c r="J9" s="38" t="str">
        <x:v>2.20.02</x:v>
      </x:c>
    </x:row>
    <x:row r="10" ht="24" customHeight="1">
      <x:c r="A10" s="38" t="n">
        <x:v>9</x:v>
      </x:c>
      <x:c r="B10" s="38" t="str">
        <x:v>Combo Candado Moto Alarma De Discomanil</x:v>
      </x:c>
      <x:c r="C10" s="38" t="str">
        <x:v>Tecnología</x:v>
      </x:c>
      <x:c r="D10" s="48" t="n">
        <x:v>59900</x:v>
      </x:c>
      <x:c r="E10" s="48" t="n">
        <x:v>69900</x:v>
      </x:c>
      <x:c r="F10" s="40" t="n">
        <x:v>103</x:v>
      </x:c>
      <x:c r="G10" s="38" t="str">
        <x:v>Exclusivo</x:v>
      </x:c>
      <x:c r="H10" s="38" t="str">
        <x:v>No visible</x:v>
      </x:c>
      <x:c r="I10" s="38" t="str">
        <x:v>Nombre visible parcial</x:v>
      </x:c>
      <x:c r="J10" s="38" t="str">
        <x:v>2.20.02</x:v>
      </x:c>
    </x:row>
    <x:row r="11" ht="24" customHeight="1">
      <x:c r="A11" s="38" t="n">
        <x:v>10</x:v>
      </x:c>
      <x:c r="B11" s="38" t="str">
        <x:v>Armario 3 Puestos Closete Tela Grande</x:v>
      </x:c>
      <x:c r="C11" s="38" t="str">
        <x:v>Hogar</x:v>
      </x:c>
      <x:c r="D11" s="48" t="n">
        <x:v>46900</x:v>
      </x:c>
      <x:c r="E11" s="48" t="n">
        <x:v>69900</x:v>
      </x:c>
      <x:c r="F11" s="40" t="n">
        <x:v>937</x:v>
      </x:c>
      <x:c r="G11" s="38" t="str">
        <x:v>Exclusivo</x:v>
      </x:c>
      <x:c r="H11" s="38" t="str">
        <x:v>Variable</x:v>
      </x:c>
      <x:c r="I11" s="38" t="str"/>
      <x:c r="J11" s="38" t="str">
        <x:v>2.20.02</x:v>
      </x:c>
    </x:row>
    <x:row r="12" ht="24" customHeight="1">
      <x:c r="A12" s="38" t="n">
        <x:v>11</x:v>
      </x:c>
      <x:c r="B12" s="38" t="str">
        <x:v>Media compresion Anti Varices</x:v>
      </x:c>
      <x:c r="C12" s="38" t="str">
        <x:v>Salud</x:v>
      </x:c>
      <x:c r="D12" s="48" t="n">
        <x:v>12900</x:v>
      </x:c>
      <x:c r="E12" s="48" t="n">
        <x:v>29900</x:v>
      </x:c>
      <x:c r="F12" s="40" t="n">
        <x:v>180</x:v>
      </x:c>
      <x:c r="G12" s="38" t="str">
        <x:v>Exclusivo</x:v>
      </x:c>
      <x:c r="H12" s="38" t="str">
        <x:v>Variable</x:v>
      </x:c>
      <x:c r="I12" s="38" t="str"/>
      <x:c r="J12" s="38" t="str">
        <x:v>2.20.02</x:v>
      </x:c>
    </x:row>
    <x:row r="13" ht="24" customHeight="1">
      <x:c r="A13" s="38" t="n">
        <x:v>12</x:v>
      </x:c>
      <x:c r="B13" s="38" t="str">
        <x:v>Escurridor De Platos Platero Ahorrador</x:v>
      </x:c>
      <x:c r="C13" s="38" t="str">
        <x:v>Cocina</x:v>
      </x:c>
      <x:c r="D13" s="48" t="n">
        <x:v>43900</x:v>
      </x:c>
      <x:c r="E13" s="48" t="n">
        <x:v>54900</x:v>
      </x:c>
      <x:c r="F13" s="40" t="n">
        <x:v>99</x:v>
      </x:c>
      <x:c r="G13" s="38" t="str">
        <x:v>Exclusivo</x:v>
      </x:c>
      <x:c r="H13" s="38" t="str">
        <x:v>No visible</x:v>
      </x:c>
      <x:c r="I13" s="38" t="str"/>
      <x:c r="J13" s="38" t="str">
        <x:v>2.20.02</x:v>
      </x:c>
    </x:row>
    <x:row r="14" ht="24" customHeight="1">
      <x:c r="A14" s="38" t="n">
        <x:v>13</x:v>
      </x:c>
      <x:c r="B14" s="38" t="str">
        <x:v>Organizadorestanteria Metalico Completo</x:v>
      </x:c>
      <x:c r="C14" s="38" t="str">
        <x:v>Hogar</x:v>
      </x:c>
      <x:c r="D14" s="48" t="n">
        <x:v>43900</x:v>
      </x:c>
      <x:c r="E14" s="48" t="n">
        <x:v>60900</x:v>
      </x:c>
      <x:c r="F14" s="40" t="n">
        <x:v>89</x:v>
      </x:c>
      <x:c r="G14" s="38" t="str">
        <x:v>Exclusivo</x:v>
      </x:c>
      <x:c r="H14" s="38" t="str">
        <x:v>No visible</x:v>
      </x:c>
      <x:c r="I14" s="38" t="str">
        <x:v>Nombre unido como se ve en pantalla</x:v>
      </x:c>
      <x:c r="J14" s="38" t="str">
        <x:v>2.20.02</x:v>
      </x:c>
    </x:row>
    <x:row r="15" ht="24" customHeight="1">
      <x:c r="A15" s="38" t="n">
        <x:v>14</x:v>
      </x:c>
      <x:c r="B15" s="38" t="str">
        <x:v>Ducha Recargable Portatil Regadera Campi</x:v>
      </x:c>
      <x:c r="C15" s="38" t="str">
        <x:v>Hogar</x:v>
      </x:c>
      <x:c r="D15" s="48" t="n">
        <x:v>29900</x:v>
      </x:c>
      <x:c r="E15" s="48" t="n">
        <x:v>39900</x:v>
      </x:c>
      <x:c r="F15" s="40" t="n">
        <x:v>20</x:v>
      </x:c>
      <x:c r="G15" s="38" t="str">
        <x:v>Exclusivo</x:v>
      </x:c>
      <x:c r="H15" s="38" t="str">
        <x:v>No visible</x:v>
      </x:c>
      <x:c r="I15" s="38" t="str">
        <x:v>Nombre visible parcial</x:v>
      </x:c>
      <x:c r="J15" s="38" t="str">
        <x:v>2.20.02</x:v>
      </x:c>
    </x:row>
    <x:row r="16" ht="24" customHeight="1">
      <x:c r="A16" s="38" t="n">
        <x:v>15</x:v>
      </x:c>
      <x:c r="B16" s="38" t="str">
        <x:v>Cinta Silicona Anti Cicatriz</x:v>
      </x:c>
      <x:c r="C16" s="38" t="str">
        <x:v>Belleza</x:v>
      </x:c>
      <x:c r="D16" s="48" t="n">
        <x:v>16900</x:v>
      </x:c>
      <x:c r="E16" s="48" t="n">
        <x:v>21900</x:v>
      </x:c>
      <x:c r="F16" s="40" t="n">
        <x:v>1</x:v>
      </x:c>
      <x:c r="G16" s="38" t="str">
        <x:v>Exclusivo</x:v>
      </x:c>
      <x:c r="H16" s="38" t="str">
        <x:v>No visible</x:v>
      </x:c>
      <x:c r="I16" s="38" t="str"/>
      <x:c r="J16" s="38" t="str">
        <x:v>2.20.02</x:v>
      </x:c>
    </x:row>
    <x:row r="17" ht="24" customHeight="1">
      <x:c r="A17" s="38" t="n">
        <x:v>16</x:v>
      </x:c>
      <x:c r="B17" s="38" t="str">
        <x:v>Tren Con Luces Y Humo</x:v>
      </x:c>
      <x:c r="C17" s="38" t="str">
        <x:v>Hogar</x:v>
      </x:c>
      <x:c r="D17" s="48" t="n">
        <x:v>89900</x:v>
      </x:c>
      <x:c r="E17" s="48" t="n">
        <x:v>110000</x:v>
      </x:c>
      <x:c r="F17" s="40" t="n">
        <x:v>28</x:v>
      </x:c>
      <x:c r="G17" s="38" t="str">
        <x:v>Exclusivo</x:v>
      </x:c>
      <x:c r="H17" s="38" t="str">
        <x:v>Variable</x:v>
      </x:c>
      <x:c r="I17" s="38" t="str"/>
      <x:c r="J17" s="38" t="str">
        <x:v>2.20.02</x:v>
      </x:c>
    </x:row>
    <x:row r="18" ht="24" customHeight="1">
      <x:c r="A18" s="38" t="n">
        <x:v>17</x:v>
      </x:c>
      <x:c r="B18" s="38" t="str">
        <x:v>Pistola Masajeadora 4 En 1</x:v>
      </x:c>
      <x:c r="C18" s="38" t="str">
        <x:v>Tecnología</x:v>
      </x:c>
      <x:c r="D18" s="48" t="n">
        <x:v>21500</x:v>
      </x:c>
      <x:c r="E18" s="48" t="n">
        <x:v>29900</x:v>
      </x:c>
      <x:c r="F18" s="40" t="n">
        <x:v>1890</x:v>
      </x:c>
      <x:c r="G18" s="38" t="str">
        <x:v>Exclusivo</x:v>
      </x:c>
      <x:c r="H18" s="38" t="str">
        <x:v>No visible</x:v>
      </x:c>
      <x:c r="I18" s="38" t="str"/>
      <x:c r="J18" s="38" t="str">
        <x:v>2.20.02</x:v>
      </x:c>
    </x:row>
    <x:row r="19" ht="24" customHeight="1">
      <x:c r="A19" s="38" t="n">
        <x:v>18</x:v>
      </x:c>
      <x:c r="B19" s="38" t="str">
        <x:v>Maquina Peluqueria Wahl Kit 9 Piezas</x:v>
      </x:c>
      <x:c r="C19" s="38" t="str">
        <x:v>Tecnología</x:v>
      </x:c>
      <x:c r="D19" s="48" t="n">
        <x:v>23900</x:v>
      </x:c>
      <x:c r="E19" s="48" t="n">
        <x:v>29900</x:v>
      </x:c>
      <x:c r="F19" s="40" t="n">
        <x:v>1983</x:v>
      </x:c>
      <x:c r="G19" s="38" t="str">
        <x:v>Exclusivo</x:v>
      </x:c>
      <x:c r="H19" s="38" t="str">
        <x:v>No visible</x:v>
      </x:c>
      <x:c r="I19" s="38" t="str"/>
      <x:c r="J19" s="38" t="str">
        <x:v>2.20.02</x:v>
      </x:c>
    </x:row>
    <x:row r="20" ht="24" customHeight="1">
      <x:c r="A20" s="38" t="n">
        <x:v>19</x:v>
      </x:c>
      <x:c r="B20" s="38" t="str">
        <x:v>Juego De Mesa Bast Interactivo Palabras</x:v>
      </x:c>
      <x:c r="C20" s="38" t="str">
        <x:v>Juguetería</x:v>
      </x:c>
      <x:c r="D20" s="48" t="n">
        <x:v>13400</x:v>
      </x:c>
      <x:c r="E20" s="48" t="n">
        <x:v>19900</x:v>
      </x:c>
      <x:c r="F20" s="40" t="n">
        <x:v>189</x:v>
      </x:c>
      <x:c r="G20" s="38" t="str">
        <x:v>Exclusivo</x:v>
      </x:c>
      <x:c r="H20" s="38" t="str">
        <x:v>No visible</x:v>
      </x:c>
      <x:c r="I20" s="38" t="str"/>
      <x:c r="J20" s="38" t="str">
        <x:v>2.20.02</x:v>
      </x:c>
    </x:row>
    <x:row r="21" ht="24" customHeight="1">
      <x:c r="A21" s="38" t="n">
        <x:v>20</x:v>
      </x:c>
      <x:c r="B21" s="38" t="str">
        <x:v>Lampara De Panel Solar Exteriores X2</x:v>
      </x:c>
      <x:c r="C21" s="38" t="str">
        <x:v>Tecnología</x:v>
      </x:c>
      <x:c r="D21" s="48" t="n">
        <x:v>24900</x:v>
      </x:c>
      <x:c r="E21" s="48" t="n">
        <x:v>34900</x:v>
      </x:c>
      <x:c r="F21" s="40" t="n">
        <x:v>5</x:v>
      </x:c>
      <x:c r="G21" s="38" t="str">
        <x:v>Exclusivo</x:v>
      </x:c>
      <x:c r="H21" s="38" t="str">
        <x:v>No visible</x:v>
      </x:c>
      <x:c r="I21" s="38" t="str"/>
      <x:c r="J21" s="38" t="str">
        <x:v>2.20.02</x:v>
      </x:c>
    </x:row>
    <x:row r="22" ht="24" customHeight="1">
      <x:c r="A22" s="38" t="n">
        <x:v>21</x:v>
      </x:c>
      <x:c r="B22" s="38" t="str">
        <x:v>Zapatero Cubierta 5 Niveles Con Perchero</x:v>
      </x:c>
      <x:c r="C22" s="38" t="str">
        <x:v>Hogar</x:v>
      </x:c>
      <x:c r="D22" s="48" t="n">
        <x:v>35900</x:v>
      </x:c>
      <x:c r="E22" s="48" t="n">
        <x:v>49900</x:v>
      </x:c>
      <x:c r="F22" s="40" t="n">
        <x:v>49</x:v>
      </x:c>
      <x:c r="G22" s="38" t="str">
        <x:v>Exclusivo</x:v>
      </x:c>
      <x:c r="H22" s="38" t="str">
        <x:v>No visible</x:v>
      </x:c>
      <x:c r="I22" s="38" t="str"/>
      <x:c r="J22" s="38" t="str">
        <x:v>2.20.02</x:v>
      </x:c>
    </x:row>
    <x:row r="23" ht="24" customHeight="1">
      <x:c r="A23" s="38" t="n">
        <x:v>22</x:v>
      </x:c>
      <x:c r="B23" s="38" t="str">
        <x:v>Linterna Frontal Luz Led Camping De Cabeza</x:v>
      </x:c>
      <x:c r="C23" s="38" t="str">
        <x:v>Tecnología</x:v>
      </x:c>
      <x:c r="D23" s="48" t="n">
        <x:v>17900</x:v>
      </x:c>
      <x:c r="E23" s="48" t="n">
        <x:v>29900</x:v>
      </x:c>
      <x:c r="F23" s="40" t="n">
        <x:v>94</x:v>
      </x:c>
      <x:c r="G23" s="38" t="str">
        <x:v>Exclusivo</x:v>
      </x:c>
      <x:c r="H23" s="38" t="str">
        <x:v>No visible</x:v>
      </x:c>
      <x:c r="I23" s="38" t="str"/>
      <x:c r="J23" s="38" t="str">
        <x:v>2.20.02</x:v>
      </x:c>
    </x:row>
    <x:row r="24" ht="24" customHeight="1">
      <x:c r="A24" s="38" t="n">
        <x:v>23</x:v>
      </x:c>
      <x:c r="B24" s="38" t="str">
        <x:v>Maquina Molino Hacer Pasta Spaghetti</x:v>
      </x:c>
      <x:c r="C24" s="38" t="str">
        <x:v>Cocina</x:v>
      </x:c>
      <x:c r="D24" s="48" t="n">
        <x:v>58900</x:v>
      </x:c>
      <x:c r="E24" s="48" t="n">
        <x:v>74900</x:v>
      </x:c>
      <x:c r="F24" s="40" t="n">
        <x:v>38</x:v>
      </x:c>
      <x:c r="G24" s="38" t="str">
        <x:v>Exclusivo</x:v>
      </x:c>
      <x:c r="H24" s="38" t="str">
        <x:v>No visible</x:v>
      </x:c>
      <x:c r="I24" s="38" t="str"/>
      <x:c r="J24" s="38" t="str">
        <x:v>2.20.02</x:v>
      </x:c>
    </x:row>
    <x:row r="25" ht="24" customHeight="1">
      <x:c r="A25" s="38" t="n">
        <x:v>24</x:v>
      </x:c>
      <x:c r="B25" s="38" t="str">
        <x:v>Combo proyector p30 Telon Dropi Cup</x:v>
      </x:c>
      <x:c r="C25" s="38" t="str">
        <x:v>Tecnología</x:v>
      </x:c>
      <x:c r="D25" s="48" t="n">
        <x:v>176900</x:v>
      </x:c>
      <x:c r="E25" s="48" t="n">
        <x:v>195900</x:v>
      </x:c>
      <x:c r="F25" s="40" t="n">
        <x:v>85</x:v>
      </x:c>
      <x:c r="G25" s="38" t="str">
        <x:v>Exclusivo</x:v>
      </x:c>
      <x:c r="H25" s="38" t="str">
        <x:v>No visible</x:v>
      </x:c>
      <x:c r="I25" s="38" t="str">
        <x:v>Nombre visible parcial</x:v>
      </x:c>
      <x:c r="J25" s="38" t="str">
        <x:v>2.20.02</x:v>
      </x:c>
    </x:row>
    <x:row r="26" ht="24" customHeight="1">
      <x:c r="A26" s="38" t="n">
        <x:v>25</x:v>
      </x:c>
      <x:c r="B26" s="38" t="str">
        <x:v>Alta Frecuencia Portatil Facial</x:v>
      </x:c>
      <x:c r="C26" s="38" t="str">
        <x:v>Tecnología</x:v>
      </x:c>
      <x:c r="D26" s="48" t="n">
        <x:v>34900</x:v>
      </x:c>
      <x:c r="E26" s="48" t="n">
        <x:v>49900</x:v>
      </x:c>
      <x:c r="F26" s="40" t="n">
        <x:v>348</x:v>
      </x:c>
      <x:c r="G26" s="38" t="str">
        <x:v>Exclusivo</x:v>
      </x:c>
      <x:c r="H26" s="38" t="str">
        <x:v>No visible</x:v>
      </x:c>
      <x:c r="I26" s="38" t="str"/>
      <x:c r="J26" s="38" t="str">
        <x:v>2.20.02</x:v>
      </x:c>
    </x:row>
    <x:row r="27" ht="24" customHeight="1">
      <x:c r="A27" s="38" t="n">
        <x:v>26</x:v>
      </x:c>
      <x:c r="B27" s="38" t="str">
        <x:v>Escurridor De Loza De Pared Metalico 2</x:v>
      </x:c>
      <x:c r="C27" s="38" t="str">
        <x:v>Cocina</x:v>
      </x:c>
      <x:c r="D27" s="48" t="n">
        <x:v>44900</x:v>
      </x:c>
      <x:c r="E27" s="48" t="n">
        <x:v>60000</x:v>
      </x:c>
      <x:c r="F27" s="40" t="n">
        <x:v>600</x:v>
      </x:c>
      <x:c r="G27" s="38" t="str">
        <x:v>Exclusivo</x:v>
      </x:c>
      <x:c r="H27" s="38" t="str">
        <x:v>No visible</x:v>
      </x:c>
      <x:c r="I27" s="38" t="str">
        <x:v>Nombre visible parcial</x:v>
      </x:c>
      <x:c r="J27" s="38" t="str">
        <x:v>2.20.02</x:v>
      </x:c>
    </x:row>
    <x:row r="28" ht="24" customHeight="1">
      <x:c r="A28" s="38" t="n">
        <x:v>27</x:v>
      </x:c>
      <x:c r="B28" s="38" t="str">
        <x:v>Mini Waflera Redonda Antiadherente Perso</x:v>
      </x:c>
      <x:c r="C28" s="38" t="str">
        <x:v>Cocina</x:v>
      </x:c>
      <x:c r="D28" s="48" t="n">
        <x:v>20900</x:v>
      </x:c>
      <x:c r="E28" s="48" t="n">
        <x:v>29900</x:v>
      </x:c>
      <x:c r="F28" s="40" t="n">
        <x:v>172</x:v>
      </x:c>
      <x:c r="G28" s="38" t="str">
        <x:v>Exclusivo</x:v>
      </x:c>
      <x:c r="H28" s="38" t="str">
        <x:v>No visible</x:v>
      </x:c>
      <x:c r="I28" s="38" t="str">
        <x:v>Nombre visible parcial</x:v>
      </x:c>
      <x:c r="J28" s="38" t="str">
        <x:v>2.20.02</x:v>
      </x:c>
    </x:row>
    <x:row r="29" ht="24" customHeight="1">
      <x:c r="A29" s="38" t="n">
        <x:v>28</x:v>
      </x:c>
      <x:c r="B29" s="38" t="str">
        <x:v>Consola De Video Juego Portatil Retro</x:v>
      </x:c>
      <x:c r="C29" s="38" t="str">
        <x:v>Juguetería</x:v>
      </x:c>
      <x:c r="D29" s="48" t="n">
        <x:v>59900</x:v>
      </x:c>
      <x:c r="E29" s="48" t="n">
        <x:v>69900</x:v>
      </x:c>
      <x:c r="F29" s="40" t="n">
        <x:v>150</x:v>
      </x:c>
      <x:c r="G29" s="38" t="str">
        <x:v>Exclusivo</x:v>
      </x:c>
      <x:c r="H29" s="38" t="str">
        <x:v>No visible</x:v>
      </x:c>
      <x:c r="I29" s="38" t="str"/>
      <x:c r="J29" s="38" t="str">
        <x:v>2.20.02</x:v>
      </x:c>
    </x:row>
    <x:row r="30" ht="24" customHeight="1">
      <x:c r="A30" s="38" t="n">
        <x:v>29</x:v>
      </x:c>
      <x:c r="B30" s="38" t="str">
        <x:v>Microfono Inalambrico</x:v>
      </x:c>
      <x:c r="C30" s="38" t="str">
        <x:v>Tecnología</x:v>
      </x:c>
      <x:c r="D30" s="48" t="n">
        <x:v>30900</x:v>
      </x:c>
      <x:c r="E30" s="48" t="n">
        <x:v>50900</x:v>
      </x:c>
      <x:c r="F30" s="40" t="n">
        <x:v>46</x:v>
      </x:c>
      <x:c r="G30" s="38" t="str">
        <x:v>Exclusivo</x:v>
      </x:c>
      <x:c r="H30" s="38" t="str">
        <x:v>No visible</x:v>
      </x:c>
      <x:c r="I30" s="38" t="str"/>
      <x:c r="J30" s="38" t="str">
        <x:v>2.20.02</x:v>
      </x:c>
    </x:row>
    <x:row r="31" ht="24" customHeight="1">
      <x:c r="A31" s="38" t="n">
        <x:v>30</x:v>
      </x:c>
      <x:c r="B31" s="38" t="str">
        <x:v>Candado Alarma Moto Bicicletas Seguridad</x:v>
      </x:c>
      <x:c r="C31" s="38" t="str">
        <x:v>Tecnología</x:v>
      </x:c>
      <x:c r="D31" s="48" t="n">
        <x:v>13900</x:v>
      </x:c>
      <x:c r="E31" s="48" t="n">
        <x:v>19900</x:v>
      </x:c>
      <x:c r="F31" s="40" t="n">
        <x:v>147</x:v>
      </x:c>
      <x:c r="G31" s="38" t="str">
        <x:v>Exclusivo</x:v>
      </x:c>
      <x:c r="H31" s="38" t="str">
        <x:v>No visible</x:v>
      </x:c>
      <x:c r="I31" s="38" t="str"/>
      <x:c r="J31" s="38" t="str">
        <x:v>2.20.02</x:v>
      </x:c>
    </x:row>
    <x:row r="32" ht="24" customHeight="1">
      <x:c r="A32" s="38" t="n">
        <x:v>31</x:v>
      </x:c>
      <x:c r="B32" s="38" t="str">
        <x:v>Filtro Purificador De Agua Domestico</x:v>
      </x:c>
      <x:c r="C32" s="38" t="str">
        <x:v>Salud</x:v>
      </x:c>
      <x:c r="D32" s="48" t="n">
        <x:v>17900</x:v>
      </x:c>
      <x:c r="E32" s="48" t="n">
        <x:v>24900</x:v>
      </x:c>
      <x:c r="F32" s="40" t="n">
        <x:v>51</x:v>
      </x:c>
      <x:c r="G32" s="38" t="str">
        <x:v>Exclusivo</x:v>
      </x:c>
      <x:c r="H32" s="38" t="str">
        <x:v>No visible</x:v>
      </x:c>
      <x:c r="I32" s="38" t="str"/>
      <x:c r="J32" s="38" t="str">
        <x:v>2.20.10</x:v>
      </x:c>
    </x:row>
    <x:row r="33" ht="24" customHeight="1">
      <x:c r="A33" s="38" t="n">
        <x:v>32</x:v>
      </x:c>
      <x:c r="B33" s="38" t="str">
        <x:v>Dos Mini Camaras Espia Inalambricas</x:v>
      </x:c>
      <x:c r="C33" s="38" t="str">
        <x:v>Tecnología</x:v>
      </x:c>
      <x:c r="D33" s="48" t="n">
        <x:v>25800</x:v>
      </x:c>
      <x:c r="E33" s="48" t="n">
        <x:v>45800</x:v>
      </x:c>
      <x:c r="F33" s="40" t="n">
        <x:v>21</x:v>
      </x:c>
      <x:c r="G33" s="38" t="str">
        <x:v>Exclusivo</x:v>
      </x:c>
      <x:c r="H33" s="38" t="str">
        <x:v>No visible</x:v>
      </x:c>
      <x:c r="I33" s="38" t="str"/>
      <x:c r="J33" s="38" t="str">
        <x:v>2.20.10</x:v>
      </x:c>
    </x:row>
    <x:row r="34" ht="24" customHeight="1">
      <x:c r="A34" s="38" t="n">
        <x:v>33</x:v>
      </x:c>
      <x:c r="B34" s="38" t="str">
        <x:v>Mesa Multifuncional Graduable Laptop T8</x:v>
      </x:c>
      <x:c r="C34" s="38" t="str">
        <x:v>Tecnología</x:v>
      </x:c>
      <x:c r="D34" s="48" t="n">
        <x:v>64900</x:v>
      </x:c>
      <x:c r="E34" s="48" t="n">
        <x:v>64900</x:v>
      </x:c>
      <x:c r="F34" s="40" t="n">
        <x:v>93</x:v>
      </x:c>
      <x:c r="G34" s="38" t="str">
        <x:v>Exclusivo</x:v>
      </x:c>
      <x:c r="H34" s="38" t="str">
        <x:v>No visible</x:v>
      </x:c>
      <x:c r="I34" s="38" t="str"/>
      <x:c r="J34" s="38" t="str">
        <x:v>2.20.10</x:v>
      </x:c>
    </x:row>
    <x:row r="35" ht="24" customHeight="1">
      <x:c r="A35" s="38" t="n">
        <x:v>34</x:v>
      </x:c>
      <x:c r="B35" s="38" t="str">
        <x:v>Cinturon Colicos Masajeador Calor</x:v>
      </x:c>
      <x:c r="C35" s="38" t="str">
        <x:v>Salud</x:v>
      </x:c>
      <x:c r="D35" s="48" t="n">
        <x:v>19400</x:v>
      </x:c>
      <x:c r="E35" s="48" t="n">
        <x:v>52900</x:v>
      </x:c>
      <x:c r="F35" s="40" t="n">
        <x:v>167</x:v>
      </x:c>
      <x:c r="G35" s="38" t="str">
        <x:v>Exclusivo</x:v>
      </x:c>
      <x:c r="H35" s="38" t="str">
        <x:v>Variable</x:v>
      </x:c>
      <x:c r="I35" s="38" t="str"/>
      <x:c r="J35" s="38" t="str">
        <x:v>2.20.10</x:v>
      </x:c>
    </x:row>
    <x:row r="36" ht="24" customHeight="1">
      <x:c r="A36" s="38" t="n">
        <x:v>35</x:v>
      </x:c>
      <x:c r="B36" s="38" t="str">
        <x:v>Combo Secador Plancha Cepillo Rizador</x:v>
      </x:c>
      <x:c r="C36" s="38" t="str">
        <x:v>Tecnología</x:v>
      </x:c>
      <x:c r="D36" s="48" t="n">
        <x:v>99900</x:v>
      </x:c>
      <x:c r="E36" s="48" t="n">
        <x:v>150000</x:v>
      </x:c>
      <x:c r="F36" s="40" t="n">
        <x:v>186</x:v>
      </x:c>
      <x:c r="G36" s="38" t="str">
        <x:v>Exclusivo</x:v>
      </x:c>
      <x:c r="H36" s="38" t="str">
        <x:v>No visible</x:v>
      </x:c>
      <x:c r="I36" s="38" t="str"/>
      <x:c r="J36" s="38" t="str">
        <x:v>2.20.10</x:v>
      </x:c>
    </x:row>
    <x:row r="37" ht="24" customHeight="1">
      <x:c r="A37" s="38" t="n">
        <x:v>36</x:v>
      </x:c>
      <x:c r="B37" s="38" t="str">
        <x:v>Llave Universal 48 Hidrovadora 2 Bat</x:v>
      </x:c>
      <x:c r="C37" s="38" t="str">
        <x:v>Vehículos</x:v>
      </x:c>
      <x:c r="D37" s="48" t="n">
        <x:v>87900</x:v>
      </x:c>
      <x:c r="E37" s="48" t="n">
        <x:v>109900</x:v>
      </x:c>
      <x:c r="F37" s="40" t="n">
        <x:v>376</x:v>
      </x:c>
      <x:c r="G37" s="38" t="str">
        <x:v>Exclusivo</x:v>
      </x:c>
      <x:c r="H37" s="38" t="str">
        <x:v>No visible</x:v>
      </x:c>
      <x:c r="I37" s="38" t="str">
        <x:v>Nombre visible parcial</x:v>
      </x:c>
      <x:c r="J37" s="38" t="str">
        <x:v>2.20.10</x:v>
      </x:c>
    </x:row>
    <x:row r="38" ht="24" customHeight="1">
      <x:c r="A38" s="38" t="n">
        <x:v>37</x:v>
      </x:c>
      <x:c r="B38" s="38" t="str">
        <x:v>Kit Lampara Panel Solar Linterna 3 Bom</x:v>
      </x:c>
      <x:c r="C38" s="38" t="str">
        <x:v>Tecnología</x:v>
      </x:c>
      <x:c r="D38" s="48" t="n">
        <x:v>50900</x:v>
      </x:c>
      <x:c r="E38" s="48" t="n">
        <x:v>70900</x:v>
      </x:c>
      <x:c r="F38" s="40" t="n">
        <x:v>2</x:v>
      </x:c>
      <x:c r="G38" s="38" t="str">
        <x:v>Exclusivo</x:v>
      </x:c>
      <x:c r="H38" s="38" t="str">
        <x:v>No visible</x:v>
      </x:c>
      <x:c r="I38" s="38" t="str">
        <x:v>Nombre visible parcial</x:v>
      </x:c>
      <x:c r="J38" s="38" t="str">
        <x:v>2.20.10</x:v>
      </x:c>
    </x:row>
    <x:row r="39" ht="24" customHeight="1">
      <x:c r="A39" s="38" t="n">
        <x:v>38</x:v>
      </x:c>
      <x:c r="B39" s="38" t="str">
        <x:v>Combo Mini Plancha Viajera Rizador</x:v>
      </x:c>
      <x:c r="C39" s="38" t="str">
        <x:v>Belleza</x:v>
      </x:c>
      <x:c r="D39" s="48" t="n">
        <x:v>24900</x:v>
      </x:c>
      <x:c r="E39" s="48" t="n">
        <x:v>34900</x:v>
      </x:c>
      <x:c r="F39" s="40" t="n">
        <x:v>149</x:v>
      </x:c>
      <x:c r="G39" s="38" t="str">
        <x:v>Exclusivo</x:v>
      </x:c>
      <x:c r="H39" s="38" t="str">
        <x:v>No visible</x:v>
      </x:c>
      <x:c r="I39" s="38" t="str"/>
      <x:c r="J39" s="38" t="str">
        <x:v>2.20.10</x:v>
      </x:c>
    </x:row>
    <x:row r="40" ht="24" customHeight="1">
      <x:c r="A40" s="38" t="n">
        <x:v>39</x:v>
      </x:c>
      <x:c r="B40" s="38" t="str">
        <x:v>Set Tapete De Baño Trapero Escurridor</x:v>
      </x:c>
      <x:c r="C40" s="38" t="str">
        <x:v>Hogar</x:v>
      </x:c>
      <x:c r="D40" s="48" t="n">
        <x:v>37900</x:v>
      </x:c>
      <x:c r="E40" s="48" t="n">
        <x:v>45900</x:v>
      </x:c>
      <x:c r="F40" s="40" t="n">
        <x:v>72</x:v>
      </x:c>
      <x:c r="G40" s="38" t="str">
        <x:v>Exclusivo</x:v>
      </x:c>
      <x:c r="H40" s="38" t="str">
        <x:v>No visible</x:v>
      </x:c>
      <x:c r="I40" s="38" t="str"/>
      <x:c r="J40" s="38" t="str">
        <x:v>2.20.10</x:v>
      </x:c>
    </x:row>
    <x:row r="41" ht="24" customHeight="1">
      <x:c r="A41" s="38" t="n">
        <x:v>40</x:v>
      </x:c>
      <x:c r="B41" s="38" t="str">
        <x:v>Organizador De Baño Esquinero Grande</x:v>
      </x:c>
      <x:c r="C41" s="38" t="str">
        <x:v>Hogar</x:v>
      </x:c>
      <x:c r="D41" s="48" t="n">
        <x:v>33900</x:v>
      </x:c>
      <x:c r="E41" s="48" t="n">
        <x:v>39900</x:v>
      </x:c>
      <x:c r="F41" s="40"/>
      <x:c r="G41" s="38" t="str">
        <x:v>Exclusivo</x:v>
      </x:c>
      <x:c r="H41" s="38" t="str">
        <x:v>No visible</x:v>
      </x:c>
      <x:c r="I41" s="38" t="str">
        <x:v>Stock no legible en captura</x:v>
      </x:c>
      <x:c r="J41" s="38" t="str">
        <x:v>2.20.10</x:v>
      </x:c>
    </x:row>
    <x:row r="42" ht="24" customHeight="1">
      <x:c r="A42" s="38" t="n">
        <x:v>41</x:v>
      </x:c>
      <x:c r="B42" s="38" t="str">
        <x:v>Dispensador Crema Dental Soporte Esteril</x:v>
      </x:c>
      <x:c r="C42" s="38" t="str">
        <x:v>Hogar</x:v>
      </x:c>
      <x:c r="D42" s="48" t="n">
        <x:v>13400</x:v>
      </x:c>
      <x:c r="E42" s="48" t="n">
        <x:v>20900</x:v>
      </x:c>
      <x:c r="F42" s="40" t="n">
        <x:v>462</x:v>
      </x:c>
      <x:c r="G42" s="38" t="str">
        <x:v>Exclusivo</x:v>
      </x:c>
      <x:c r="H42" s="38" t="str">
        <x:v>No visible</x:v>
      </x:c>
      <x:c r="I42" s="38" t="str"/>
      <x:c r="J42" s="38" t="str">
        <x:v>2.20.10</x:v>
      </x:c>
    </x:row>
    <x:row r="43" ht="24" customHeight="1">
      <x:c r="A43" s="38" t="n">
        <x:v>42</x:v>
      </x:c>
      <x:c r="B43" s="38" t="str">
        <x:v>Camara Robotica Ip Wifi Full Hd 1080p Ptz</x:v>
      </x:c>
      <x:c r="C43" s="38" t="str">
        <x:v>Tecnología</x:v>
      </x:c>
      <x:c r="D43" s="48" t="n">
        <x:v>54900</x:v>
      </x:c>
      <x:c r="E43" s="48" t="n">
        <x:v>69900</x:v>
      </x:c>
      <x:c r="F43" s="40" t="n">
        <x:v>155</x:v>
      </x:c>
      <x:c r="G43" s="38" t="str">
        <x:v>Exclusivo</x:v>
      </x:c>
      <x:c r="H43" s="38" t="str">
        <x:v>No visible</x:v>
      </x:c>
      <x:c r="I43" s="38" t="str"/>
      <x:c r="J43" s="38" t="str">
        <x:v>2.20.10</x:v>
      </x:c>
    </x:row>
    <x:row r="44" ht="24" customHeight="1">
      <x:c r="A44" s="38" t="n">
        <x:v>43</x:v>
      </x:c>
      <x:c r="B44" s="38" t="str">
        <x:v>Estuche Kit Manicura Cortauñas Acero</x:v>
      </x:c>
      <x:c r="C44" s="38" t="str">
        <x:v>Belleza</x:v>
      </x:c>
      <x:c r="D44" s="48" t="n">
        <x:v>24900</x:v>
      </x:c>
      <x:c r="E44" s="48" t="n">
        <x:v>34900</x:v>
      </x:c>
      <x:c r="F44" s="40" t="n">
        <x:v>50</x:v>
      </x:c>
      <x:c r="G44" s="38" t="str">
        <x:v>Exclusivo</x:v>
      </x:c>
      <x:c r="H44" s="38" t="str">
        <x:v>No visible</x:v>
      </x:c>
      <x:c r="I44" s="38" t="str"/>
      <x:c r="J44" s="38" t="str">
        <x:v>2.20.10</x:v>
      </x:c>
    </x:row>
    <x:row r="45" ht="24" customHeight="1">
      <x:c r="A45" s="38" t="n">
        <x:v>44</x:v>
      </x:c>
      <x:c r="B45" s="38" t="str">
        <x:v>Kit De Maquillaje Y Joyeria Infantil</x:v>
      </x:c>
      <x:c r="C45" s="38" t="str">
        <x:v>Juguetería</x:v>
      </x:c>
      <x:c r="D45" s="48" t="n">
        <x:v>44900</x:v>
      </x:c>
      <x:c r="E45" s="48" t="n">
        <x:v>54900</x:v>
      </x:c>
      <x:c r="F45" s="40" t="n">
        <x:v>296</x:v>
      </x:c>
      <x:c r="G45" s="38" t="str">
        <x:v>Exclusivo</x:v>
      </x:c>
      <x:c r="H45" s="38" t="str">
        <x:v>No visible</x:v>
      </x:c>
      <x:c r="I45" s="38" t="str"/>
      <x:c r="J45" s="38" t="str">
        <x:v>2.20.10</x:v>
      </x:c>
    </x:row>
    <x:row r="46" ht="24" customHeight="1">
      <x:c r="A46" s="38" t="n">
        <x:v>45</x:v>
      </x:c>
      <x:c r="B46" s="38" t="str">
        <x:v>Encrespador Electrico Pestañas</x:v>
      </x:c>
      <x:c r="C46" s="38" t="str">
        <x:v>Belleza</x:v>
      </x:c>
      <x:c r="D46" s="48" t="n">
        <x:v>23900</x:v>
      </x:c>
      <x:c r="E46" s="48" t="n">
        <x:v>39900</x:v>
      </x:c>
      <x:c r="F46" s="40" t="n">
        <x:v>89</x:v>
      </x:c>
      <x:c r="G46" s="38" t="str">
        <x:v>Exclusivo</x:v>
      </x:c>
      <x:c r="H46" s="38" t="str">
        <x:v>No visible</x:v>
      </x:c>
      <x:c r="I46" s="38" t="str"/>
      <x:c r="J46" s="38" t="str">
        <x:v>2.20.10</x:v>
      </x:c>
    </x:row>
    <x:row r="47" ht="24" customHeight="1">
      <x:c r="A47" s="38" t="n">
        <x:v>46</x:v>
      </x:c>
      <x:c r="B47" s="38" t="str">
        <x:v>Combo Secador Plancha Aguacate</x:v>
      </x:c>
      <x:c r="C47" s="38" t="str">
        <x:v>Belleza</x:v>
      </x:c>
      <x:c r="D47" s="48" t="n">
        <x:v>79900</x:v>
      </x:c>
      <x:c r="E47" s="48" t="n">
        <x:v>89900</x:v>
      </x:c>
      <x:c r="F47" s="40" t="n">
        <x:v>270</x:v>
      </x:c>
      <x:c r="G47" s="38" t="str">
        <x:v>Exclusivo</x:v>
      </x:c>
      <x:c r="H47" s="38" t="str">
        <x:v>No visible</x:v>
      </x:c>
      <x:c r="I47" s="38" t="str">
        <x:v>Nombre visible parcial</x:v>
      </x:c>
      <x:c r="J47" s="38" t="str">
        <x:v>2.20.10</x:v>
      </x:c>
    </x:row>
    <x:row r="48" ht="24" customHeight="1">
      <x:c r="A48" s="38" t="n">
        <x:v>47</x:v>
      </x:c>
      <x:c r="B48" s="38" t="str">
        <x:v>Combo Cepillo Alisador Pinza Rizador</x:v>
      </x:c>
      <x:c r="C48" s="38" t="str">
        <x:v>Belleza</x:v>
      </x:c>
      <x:c r="D48" s="48" t="n">
        <x:v>43900</x:v>
      </x:c>
      <x:c r="E48" s="48" t="n">
        <x:v>59900</x:v>
      </x:c>
      <x:c r="F48" s="40" t="n">
        <x:v>50</x:v>
      </x:c>
      <x:c r="G48" s="38" t="str">
        <x:v>Exclusivo</x:v>
      </x:c>
      <x:c r="H48" s="38" t="str">
        <x:v>No visible</x:v>
      </x:c>
      <x:c r="I48" s="38" t="str"/>
      <x:c r="J48" s="38" t="str">
        <x:v>2.20.10</x:v>
      </x:c>
    </x:row>
    <x:row r="49" ht="24" customHeight="1">
      <x:c r="A49" s="38" t="n">
        <x:v>48</x:v>
      </x:c>
      <x:c r="B49" s="38" t="str">
        <x:v>Cinta Kinesiologica Vendaje Terapeutico</x:v>
      </x:c>
      <x:c r="C49" s="38" t="str">
        <x:v>Bienestar</x:v>
      </x:c>
      <x:c r="D49" s="48" t="n">
        <x:v>13900</x:v>
      </x:c>
      <x:c r="E49" s="48" t="n">
        <x:v>25900</x:v>
      </x:c>
      <x:c r="F49" s="40" t="n">
        <x:v>46</x:v>
      </x:c>
      <x:c r="G49" s="38" t="str">
        <x:v>Exclusivo</x:v>
      </x:c>
      <x:c r="H49" s="38" t="str">
        <x:v>Variable</x:v>
      </x:c>
      <x:c r="I49" s="38" t="str"/>
      <x:c r="J49" s="38" t="str">
        <x:v>2.20.10</x:v>
      </x:c>
    </x:row>
    <x:row r="50" ht="24" customHeight="1">
      <x:c r="A50" s="38" t="n">
        <x:v>49</x:v>
      </x:c>
      <x:c r="B50" s="38" t="str">
        <x:v>Irrigador Oral Recargable Patille</x:v>
      </x:c>
      <x:c r="C50" s="38" t="str">
        <x:v>Belleza</x:v>
      </x:c>
      <x:c r="D50" s="48" t="n">
        <x:v>24900</x:v>
      </x:c>
      <x:c r="E50" s="48" t="n">
        <x:v>42900</x:v>
      </x:c>
      <x:c r="F50" s="40" t="n">
        <x:v>505</x:v>
      </x:c>
      <x:c r="G50" s="38" t="str">
        <x:v>Exclusivo</x:v>
      </x:c>
      <x:c r="H50" s="38" t="str">
        <x:v>Variable</x:v>
      </x:c>
      <x:c r="I50" s="38" t="str">
        <x:v>Nombre visible parcial</x:v>
      </x:c>
      <x:c r="J50" s="38" t="str">
        <x:v>2.20.10</x:v>
      </x:c>
    </x:row>
    <x:row r="51" ht="24" customHeight="1">
      <x:c r="A51" s="38" t="n">
        <x:v>50</x:v>
      </x:c>
      <x:c r="B51" s="38" t="str">
        <x:v>Aspirador Nasal Para Bebes Saca Mocos</x:v>
      </x:c>
      <x:c r="C51" s="38" t="str">
        <x:v>Salud</x:v>
      </x:c>
      <x:c r="D51" s="48" t="n">
        <x:v>39900</x:v>
      </x:c>
      <x:c r="E51" s="48" t="n">
        <x:v>54900</x:v>
      </x:c>
      <x:c r="F51" s="40"/>
      <x:c r="G51" s="38" t="str">
        <x:v>Exclusivo</x:v>
      </x:c>
      <x:c r="H51" s="38" t="str">
        <x:v>No visible</x:v>
      </x:c>
      <x:c r="I51" s="38" t="str">
        <x:v>Stock no legible en captura</x:v>
      </x:c>
      <x:c r="J51" s="38" t="str">
        <x:v>2.20.10</x:v>
      </x:c>
    </x:row>
    <x:row r="52" ht="24" customHeight="1">
      <x:c r="A52" t="n">
        <x:v>51</x:v>
      </x:c>
      <x:c r="B52" t="str">
        <x:v>Set Arte Ninos Maleta 150 Piezas Crayon</x:v>
      </x:c>
      <x:c r="C52" t="str">
        <x:v>Otro</x:v>
      </x:c>
      <x:c r="D52" s="42" t="n">
        <x:v>39900</x:v>
      </x:c>
      <x:c r="E52" s="42" t="n">
        <x:v>55000</x:v>
      </x:c>
      <x:c r="F52" s="46" t="n">
        <x:v>50</x:v>
      </x:c>
      <x:c r="G52" t="str">
        <x:v>Exclusivo</x:v>
      </x:c>
      <x:c r="H52" t="str">
        <x:v>No visible</x:v>
      </x:c>
      <x:c r="I52" t="str"/>
      <x:c r="J52" t="str">
        <x:v>2.20.10</x:v>
      </x:c>
    </x:row>
    <x:row r="53" ht="24" customHeight="1">
      <x:c r="A53" t="n">
        <x:v>52</x:v>
      </x:c>
      <x:c r="B53" t="str">
        <x:v>Set De Arte Ninos Maleta 208 Piezas</x:v>
      </x:c>
      <x:c r="C53" t="str">
        <x:v>Otro</x:v>
      </x:c>
      <x:c r="D53" s="42" t="n">
        <x:v>22900</x:v>
      </x:c>
      <x:c r="E53" s="42" t="n">
        <x:v>59900</x:v>
      </x:c>
      <x:c r="F53" s="46" t="n">
        <x:v>1997</x:v>
      </x:c>
      <x:c r="G53" t="str">
        <x:v>Exclusivo</x:v>
      </x:c>
      <x:c r="H53" t="str">
        <x:v>Variable</x:v>
      </x:c>
      <x:c r="I53" t="str"/>
      <x:c r="J53" t="str">
        <x:v>2.20.10</x:v>
      </x:c>
    </x:row>
    <x:row r="54" ht="24" customHeight="1">
      <x:c r="A54" t="n">
        <x:v>53</x:v>
      </x:c>
      <x:c r="B54" t="str">
        <x:v>Carretilla Zorra Metalica</x:v>
      </x:c>
      <x:c r="C54" t="str">
        <x:v>Hogar</x:v>
      </x:c>
      <x:c r="D54" s="42" t="n">
        <x:v>83900</x:v>
      </x:c>
      <x:c r="E54" s="42" t="n">
        <x:v>93900</x:v>
      </x:c>
      <x:c r="F54" s="46" t="n">
        <x:v>495</x:v>
      </x:c>
      <x:c r="G54" t="str">
        <x:v>Exclusivo</x:v>
      </x:c>
      <x:c r="H54" t="str">
        <x:v>No visible</x:v>
      </x:c>
      <x:c r="I54" t="str"/>
      <x:c r="J54" t="str">
        <x:v>2.20.10</x:v>
      </x:c>
    </x:row>
    <x:row r="55" ht="24" customHeight="1">
      <x:c r="A55" t="n">
        <x:v>54</x:v>
      </x:c>
      <x:c r="B55" t="str">
        <x:v>Zapatero Tela 9 Niveles Organizador</x:v>
      </x:c>
      <x:c r="C55" t="str">
        <x:v>Hogar</x:v>
      </x:c>
      <x:c r="D55" s="42" t="n">
        <x:v>34900</x:v>
      </x:c>
      <x:c r="E55" s="42" t="n">
        <x:v>44900</x:v>
      </x:c>
      <x:c r="F55" s="46" t="n">
        <x:v>66</x:v>
      </x:c>
      <x:c r="G55" t="str">
        <x:v>Exclusivo</x:v>
      </x:c>
      <x:c r="H55" t="str">
        <x:v>Variable</x:v>
      </x:c>
      <x:c r="I55" t="str"/>
      <x:c r="J55" t="str">
        <x:v>2.20.10</x:v>
      </x:c>
    </x:row>
    <x:row r="56" ht="24" customHeight="1">
      <x:c r="A56" t="n">
        <x:v>55</x:v>
      </x:c>
      <x:c r="B56" t="str">
        <x:v>Set De Arte Maleta Ninos 208 Piezas</x:v>
      </x:c>
      <x:c r="C56" t="str">
        <x:v>Otro</x:v>
      </x:c>
      <x:c r="D56" s="42" t="n">
        <x:v>22900</x:v>
      </x:c>
      <x:c r="E56" s="42" t="n">
        <x:v>34900</x:v>
      </x:c>
      <x:c r="F56" s="46" t="n">
        <x:v>500</x:v>
      </x:c>
      <x:c r="G56" t="str">
        <x:v>Exclusivo</x:v>
      </x:c>
      <x:c r="H56" t="str">
        <x:v>No visible</x:v>
      </x:c>
      <x:c r="I56" t="str"/>
      <x:c r="J56" t="str">
        <x:v>2.20.10</x:v>
      </x:c>
    </x:row>
    <x:row r="57" ht="24" customHeight="1">
      <x:c r="A57" t="n">
        <x:v>56</x:v>
      </x:c>
      <x:c r="B57" t="str">
        <x:v>Esponja De Maquillaje De Belleza 7 Pieza</x:v>
      </x:c>
      <x:c r="C57" t="str">
        <x:v>Belleza</x:v>
      </x:c>
      <x:c r="D57" s="42" t="n">
        <x:v>19900</x:v>
      </x:c>
      <x:c r="E57" s="42" t="n">
        <x:v>24900</x:v>
      </x:c>
      <x:c r="F57" s="46" t="n">
        <x:v>1</x:v>
      </x:c>
      <x:c r="G57" t="str">
        <x:v>Exclusivo</x:v>
      </x:c>
      <x:c r="H57" t="str">
        <x:v>No visible</x:v>
      </x:c>
      <x:c r="I57" t="str"/>
      <x:c r="J57" t="str">
        <x:v>2.20.10</x:v>
      </x:c>
    </x:row>
    <x:row r="58" ht="24" customHeight="1">
      <x:c r="A58" t="n">
        <x:v>57</x:v>
      </x:c>
      <x:c r="B58" t="str">
        <x:v>Escurridor Organizador Loza Drenaje Agua</x:v>
      </x:c>
      <x:c r="C58" t="str">
        <x:v>Hogar</x:v>
      </x:c>
      <x:c r="D58" s="42" t="n">
        <x:v>51900</x:v>
      </x:c>
      <x:c r="E58" s="42" t="n">
        <x:v>69900</x:v>
      </x:c>
      <x:c r="F58" s="46" t="n">
        <x:v>498</x:v>
      </x:c>
      <x:c r="G58" t="str">
        <x:v>Exclusivo</x:v>
      </x:c>
      <x:c r="H58" t="str">
        <x:v>No visible</x:v>
      </x:c>
      <x:c r="I58" t="str"/>
      <x:c r="J58" t="str">
        <x:v>2.20.10</x:v>
      </x:c>
    </x:row>
    <x:row r="59" ht="24" customHeight="1">
      <x:c r="A59" t="n">
        <x:v>58</x:v>
      </x:c>
      <x:c r="B59" t="str">
        <x:v>Kit De Arte Para Ninos 208 Piezas</x:v>
      </x:c>
      <x:c r="C59" t="str">
        <x:v>Hogar</x:v>
      </x:c>
      <x:c r="D59" s="42" t="n">
        <x:v>23900</x:v>
      </x:c>
      <x:c r="E59" s="42" t="n">
        <x:v>32900</x:v>
      </x:c>
      <x:c r="F59" s="46" t="n">
        <x:v>20</x:v>
      </x:c>
      <x:c r="G59" t="str">
        <x:v>Exclusivo</x:v>
      </x:c>
      <x:c r="H59" t="str">
        <x:v>Variable</x:v>
      </x:c>
      <x:c r="I59" t="str"/>
      <x:c r="J59" t="str">
        <x:v>2.20.10</x:v>
      </x:c>
    </x:row>
    <x:row r="60" ht="24" customHeight="1">
      <x:c r="A60" t="n">
        <x:v>59</x:v>
      </x:c>
      <x:c r="B60" t="str">
        <x:v>Hervidor Electrico Sokany</x:v>
      </x:c>
      <x:c r="C60" t="str">
        <x:v>Cocina</x:v>
      </x:c>
      <x:c r="D60" s="42" t="n">
        <x:v>34900</x:v>
      </x:c>
      <x:c r="E60" s="42" t="n">
        <x:v>44900</x:v>
      </x:c>
      <x:c r="F60" s="46" t="n">
        <x:v>298</x:v>
      </x:c>
      <x:c r="G60" t="str">
        <x:v>Exclusivo</x:v>
      </x:c>
      <x:c r="H60" t="str">
        <x:v>No visible</x:v>
      </x:c>
      <x:c r="I60" t="str"/>
      <x:c r="J60" t="str">
        <x:v>2.20.10</x:v>
      </x:c>
    </x:row>
    <x:row r="61" ht="24" customHeight="1">
      <x:c r="A61" t="n">
        <x:v>60</x:v>
      </x:c>
      <x:c r="B61" t="str">
        <x:v>Tapiz Aluminio Cocina 1 Rollo</x:v>
      </x:c>
      <x:c r="C61" t="str">
        <x:v>Hogar</x:v>
      </x:c>
      <x:c r="D61" s="42" t="n">
        <x:v>12900</x:v>
      </x:c>
      <x:c r="E61" s="42" t="n">
        <x:v>24900</x:v>
      </x:c>
      <x:c r="F61" s="46"/>
      <x:c r="G61" t="str">
        <x:v>Exclusivo</x:v>
      </x:c>
      <x:c r="H61" t="str">
        <x:v>No visible</x:v>
      </x:c>
      <x:c r="I61" t="str">
        <x:v>Nombre/stock visible parcial</x:v>
      </x:c>
      <x:c r="J61" t="str">
        <x:v>2.20.10</x:v>
      </x:c>
    </x:row>
    <x:row r="62" ht="24" customHeight="1">
      <x:c r="A62" t="n">
        <x:v>61</x:v>
      </x:c>
      <x:c r="B62" t="str">
        <x:v>Escurridor De Platos 3 Niveles</x:v>
      </x:c>
      <x:c r="C62" t="str">
        <x:v>Cocina</x:v>
      </x:c>
      <x:c r="D62" s="42" t="n">
        <x:v>52900</x:v>
      </x:c>
      <x:c r="E62" s="42" t="n">
        <x:v>84900</x:v>
      </x:c>
      <x:c r="F62" s="46" t="n">
        <x:v>377</x:v>
      </x:c>
      <x:c r="G62" t="str">
        <x:v>Exclusivo</x:v>
      </x:c>
      <x:c r="H62" t="str">
        <x:v>No visible</x:v>
      </x:c>
      <x:c r="I62" t="str"/>
      <x:c r="J62" t="str">
        <x:v>2.20.16</x:v>
      </x:c>
    </x:row>
    <x:row r="63" ht="24" customHeight="1">
      <x:c r="A63" t="n">
        <x:v>62</x:v>
      </x:c>
      <x:c r="B63" t="str">
        <x:v>Organizador De Baño Estanteria Metalico</x:v>
      </x:c>
      <x:c r="C63" t="str">
        <x:v>Hogar</x:v>
      </x:c>
      <x:c r="D63" s="42" t="n">
        <x:v>42900</x:v>
      </x:c>
      <x:c r="E63" s="42" t="n">
        <x:v>54900</x:v>
      </x:c>
      <x:c r="F63" s="46" t="n">
        <x:v>50</x:v>
      </x:c>
      <x:c r="G63" t="str">
        <x:v>Exclusivo</x:v>
      </x:c>
      <x:c r="H63" t="str">
        <x:v>No visible</x:v>
      </x:c>
      <x:c r="I63" t="str"/>
      <x:c r="J63" t="str">
        <x:v>2.20.16</x:v>
      </x:c>
    </x:row>
    <x:row r="64" ht="24" customHeight="1">
      <x:c r="A64" t="n">
        <x:v>63</x:v>
      </x:c>
      <x:c r="B64" t="str">
        <x:v>Molde De Silicona Hielo Facial</x:v>
      </x:c>
      <x:c r="C64" t="str">
        <x:v>Belleza</x:v>
      </x:c>
      <x:c r="D64" s="42" t="n">
        <x:v>13900</x:v>
      </x:c>
      <x:c r="E64" s="42" t="n">
        <x:v>22900</x:v>
      </x:c>
      <x:c r="F64" s="46" t="n">
        <x:v>21</x:v>
      </x:c>
      <x:c r="G64" t="str">
        <x:v>Exclusivo</x:v>
      </x:c>
      <x:c r="H64" t="str">
        <x:v>Variable</x:v>
      </x:c>
      <x:c r="I64" t="str"/>
      <x:c r="J64" t="str">
        <x:v>2.20.16</x:v>
      </x:c>
    </x:row>
    <x:row r="65" ht="24" customHeight="1">
      <x:c r="A65" t="n">
        <x:v>64</x:v>
      </x:c>
      <x:c r="B65" t="str">
        <x:v>Set De Cuchillos X6</x:v>
      </x:c>
      <x:c r="C65" t="str">
        <x:v>Cocina</x:v>
      </x:c>
      <x:c r="D65" s="42" t="n">
        <x:v>11900</x:v>
      </x:c>
      <x:c r="E65" s="42" t="n">
        <x:v>18900</x:v>
      </x:c>
      <x:c r="F65" s="46" t="n">
        <x:v>481</x:v>
      </x:c>
      <x:c r="G65" t="str">
        <x:v>Exclusivo</x:v>
      </x:c>
      <x:c r="H65" t="str">
        <x:v>No visible</x:v>
      </x:c>
      <x:c r="I65" t="str"/>
      <x:c r="J65" t="str">
        <x:v>2.20.16</x:v>
      </x:c>
    </x:row>
    <x:row r="66" ht="24" customHeight="1">
      <x:c r="A66" t="n">
        <x:v>65</x:v>
      </x:c>
      <x:c r="B66" t="str">
        <x:v>Combo Cepillo Secador Aguacate Plancha</x:v>
      </x:c>
      <x:c r="C66" t="str">
        <x:v>Belleza</x:v>
      </x:c>
      <x:c r="D66" s="42" t="n">
        <x:v>59900</x:v>
      </x:c>
      <x:c r="E66" s="42" t="n">
        <x:v>74900</x:v>
      </x:c>
      <x:c r="F66" s="46" t="n">
        <x:v>64</x:v>
      </x:c>
      <x:c r="G66" t="str">
        <x:v>Exclusivo</x:v>
      </x:c>
      <x:c r="H66" t="str">
        <x:v>No visible</x:v>
      </x:c>
      <x:c r="I66" t="str"/>
      <x:c r="J66" t="str">
        <x:v>2.20.16</x:v>
      </x:c>
    </x:row>
    <x:row r="67" ht="24" customHeight="1">
      <x:c r="A67" t="n">
        <x:v>66</x:v>
      </x:c>
      <x:c r="B67" t="str">
        <x:v>Aspiradora Recogedor De Pelo Mascota</x:v>
      </x:c>
      <x:c r="C67" t="str">
        <x:v>Mascotas</x:v>
      </x:c>
      <x:c r="D67" s="42" t="n">
        <x:v>26900</x:v>
      </x:c>
      <x:c r="E67" s="42" t="n">
        <x:v>26900</x:v>
      </x:c>
      <x:c r="F67" s="46" t="n">
        <x:v>43</x:v>
      </x:c>
      <x:c r="G67" t="str">
        <x:v>Exclusivo</x:v>
      </x:c>
      <x:c r="H67" t="str">
        <x:v>No visible</x:v>
      </x:c>
      <x:c r="I67" t="str"/>
      <x:c r="J67" t="str">
        <x:v>2.20.16</x:v>
      </x:c>
    </x:row>
    <x:row r="68" ht="24" customHeight="1">
      <x:c r="A68" t="n">
        <x:v>67</x:v>
      </x:c>
      <x:c r="B68" t="str">
        <x:v>Combo Armario 3 Puestoszapatero 9nivele</x:v>
      </x:c>
      <x:c r="C68" t="str">
        <x:v>Hogar</x:v>
      </x:c>
      <x:c r="D68" s="42" t="n">
        <x:v>77900</x:v>
      </x:c>
      <x:c r="E68" s="42" t="n">
        <x:v>129900</x:v>
      </x:c>
      <x:c r="F68" s="46" t="n">
        <x:v>72</x:v>
      </x:c>
      <x:c r="G68" t="str">
        <x:v>Exclusivo</x:v>
      </x:c>
      <x:c r="H68" t="str">
        <x:v>Variable</x:v>
      </x:c>
      <x:c r="I68" t="str">
        <x:v>Nombre visible parcial</x:v>
      </x:c>
      <x:c r="J68" t="str">
        <x:v>2.20.16</x:v>
      </x:c>
    </x:row>
    <x:row r="69" ht="24" customHeight="1">
      <x:c r="A69" t="n">
        <x:v>68</x:v>
      </x:c>
      <x:c r="B69" t="str">
        <x:v>Linterna Frontal Guadana Inalambrica</x:v>
      </x:c>
      <x:c r="C69" t="str">
        <x:v>Tecnología</x:v>
      </x:c>
      <x:c r="D69" s="42" t="n">
        <x:v>107900</x:v>
      </x:c>
      <x:c r="E69" s="42" t="n">
        <x:v>129900</x:v>
      </x:c>
      <x:c r="F69" s="46" t="n">
        <x:v>45</x:v>
      </x:c>
      <x:c r="G69" t="str">
        <x:v>Exclusivo</x:v>
      </x:c>
      <x:c r="H69" t="str">
        <x:v>No visible</x:v>
      </x:c>
      <x:c r="I69" t="str"/>
      <x:c r="J69" t="str">
        <x:v>2.20.16</x:v>
      </x:c>
    </x:row>
    <x:row r="70" ht="24" customHeight="1">
      <x:c r="A70" t="n">
        <x:v>69</x:v>
      </x:c>
      <x:c r="B70" t="str">
        <x:v>Porta Comida Recipiente Hermetico</x:v>
      </x:c>
      <x:c r="C70" t="str">
        <x:v>Cocina</x:v>
      </x:c>
      <x:c r="D70" s="42" t="n">
        <x:v>52900</x:v>
      </x:c>
      <x:c r="E70" s="42" t="n">
        <x:v>59900</x:v>
      </x:c>
      <x:c r="F70" s="46" t="n">
        <x:v>100</x:v>
      </x:c>
      <x:c r="G70" t="str">
        <x:v>Exclusivo</x:v>
      </x:c>
      <x:c r="H70" t="str">
        <x:v>No visible</x:v>
      </x:c>
      <x:c r="I70" t="str"/>
      <x:c r="J70" t="str">
        <x:v>2.20.16</x:v>
      </x:c>
    </x:row>
    <x:row r="71" ht="24" customHeight="1">
      <x:c r="A71" t="n">
        <x:v>70</x:v>
      </x:c>
      <x:c r="B71" t="str">
        <x:v>Turkesterone</x:v>
      </x:c>
      <x:c r="C71" t="str">
        <x:v>Salud</x:v>
      </x:c>
      <x:c r="D71" s="42" t="n">
        <x:v>27000</x:v>
      </x:c>
      <x:c r="E71" s="42" t="n">
        <x:v>49900</x:v>
      </x:c>
      <x:c r="F71" s="46"/>
      <x:c r="G71" t="str">
        <x:v>Exclusivo</x:v>
      </x:c>
      <x:c r="H71" t="str">
        <x:v>No visible</x:v>
      </x:c>
      <x:c r="I71" t="str">
        <x:v>Stock no legible en captura</x:v>
      </x:c>
      <x:c r="J71" t="str">
        <x:v>2.20.16</x:v>
      </x:c>
    </x:row>
    <x:row r="72" ht="24" customHeight="1">
      <x:c r="A72" t="n">
        <x:v>71</x:v>
      </x:c>
      <x:c r="B72" t="str">
        <x:v>Kit De Banda De Resistencia 11pz</x:v>
      </x:c>
      <x:c r="C72" t="str">
        <x:v>Ropa Deportiva</x:v>
      </x:c>
      <x:c r="D72" s="42" t="n">
        <x:v>14900</x:v>
      </x:c>
      <x:c r="E72" s="42" t="n">
        <x:v>24900</x:v>
      </x:c>
      <x:c r="F72" s="46" t="n">
        <x:v>100</x:v>
      </x:c>
      <x:c r="G72" t="str">
        <x:v>Exclusivo</x:v>
      </x:c>
      <x:c r="H72" t="str">
        <x:v>No visible</x:v>
      </x:c>
      <x:c r="I72" t="str"/>
      <x:c r="J72" t="str">
        <x:v>2.20.16</x:v>
      </x:c>
    </x:row>
    <x:row r="73" ht="24" customHeight="1">
      <x:c r="A73" t="n">
        <x:v>72</x:v>
      </x:c>
      <x:c r="B73" t="str">
        <x:v>Parasol Protector Parabrisas Automovil</x:v>
      </x:c>
      <x:c r="C73" t="str">
        <x:v>Tecnología</x:v>
      </x:c>
      <x:c r="D73" s="42" t="n">
        <x:v>12900</x:v>
      </x:c>
      <x:c r="E73" s="42" t="n">
        <x:v>19900</x:v>
      </x:c>
      <x:c r="F73" s="46" t="n">
        <x:v>101</x:v>
      </x:c>
      <x:c r="G73" t="str">
        <x:v>Exclusivo</x:v>
      </x:c>
      <x:c r="H73" t="str">
        <x:v>No visible</x:v>
      </x:c>
      <x:c r="I73" t="str"/>
      <x:c r="J73" t="str">
        <x:v>2.20.16</x:v>
      </x:c>
    </x:row>
    <x:row r="74" ht="24" customHeight="1">
      <x:c r="A74" t="n">
        <x:v>73</x:v>
      </x:c>
      <x:c r="B74" t="str">
        <x:v>Secadora De Ropa Portatil</x:v>
      </x:c>
      <x:c r="C74" t="str">
        <x:v>Vaporizadores</x:v>
      </x:c>
      <x:c r="D74" s="42" t="n">
        <x:v>47900</x:v>
      </x:c>
      <x:c r="E74" s="42" t="n">
        <x:v>54900</x:v>
      </x:c>
      <x:c r="F74" s="46" t="n">
        <x:v>173</x:v>
      </x:c>
      <x:c r="G74" t="str">
        <x:v>Exclusivo</x:v>
      </x:c>
      <x:c r="H74" t="str">
        <x:v>No visible</x:v>
      </x:c>
      <x:c r="I74" t="str"/>
      <x:c r="J74" t="str">
        <x:v>2.20.16</x:v>
      </x:c>
    </x:row>
    <x:row r="75" ht="24" customHeight="1">
      <x:c r="A75" t="n">
        <x:v>74</x:v>
      </x:c>
      <x:c r="B75" t="str">
        <x:v>Carrito Organizador 3 Niveles Multiusos</x:v>
      </x:c>
      <x:c r="C75" t="str">
        <x:v>Hogar</x:v>
      </x:c>
      <x:c r="D75" s="42" t="n">
        <x:v>79900</x:v>
      </x:c>
      <x:c r="E75" s="42" t="n">
        <x:v>99900</x:v>
      </x:c>
      <x:c r="F75" s="46" t="n">
        <x:v>27</x:v>
      </x:c>
      <x:c r="G75" t="str">
        <x:v>Exclusivo</x:v>
      </x:c>
      <x:c r="H75" t="str">
        <x:v>Variable</x:v>
      </x:c>
      <x:c r="I75" t="str"/>
      <x:c r="J75" t="str">
        <x:v>2.20.16</x:v>
      </x:c>
    </x:row>
    <x:row r="76" ht="24" customHeight="1">
      <x:c r="A76" t="n">
        <x:v>75</x:v>
      </x:c>
      <x:c r="B76" t="str">
        <x:v>Telon De Navidad Pared</x:v>
      </x:c>
      <x:c r="C76" t="str">
        <x:v>Hogar</x:v>
      </x:c>
      <x:c r="D76" s="42" t="n">
        <x:v>51900</x:v>
      </x:c>
      <x:c r="E76" s="42" t="n">
        <x:v>80000</x:v>
      </x:c>
      <x:c r="F76" s="46" t="n">
        <x:v>204</x:v>
      </x:c>
      <x:c r="G76" t="str">
        <x:v>Exclusivo</x:v>
      </x:c>
      <x:c r="H76" t="str">
        <x:v>Variable</x:v>
      </x:c>
      <x:c r="I76" t="str"/>
      <x:c r="J76" t="str">
        <x:v>2.20.16</x:v>
      </x:c>
    </x:row>
    <x:row r="77" ht="24" customHeight="1">
      <x:c r="A77" t="n">
        <x:v>76</x:v>
      </x:c>
      <x:c r="B77" t="str">
        <x:v>Set Termo Temperatura Acero Inoxidable</x:v>
      </x:c>
      <x:c r="C77" t="str">
        <x:v>Cocina</x:v>
      </x:c>
      <x:c r="D77" s="42" t="n">
        <x:v>19900</x:v>
      </x:c>
      <x:c r="E77" s="42" t="n">
        <x:v>29900</x:v>
      </x:c>
      <x:c r="F77" s="46" t="n">
        <x:v>191</x:v>
      </x:c>
      <x:c r="G77" t="str">
        <x:v>Exclusivo</x:v>
      </x:c>
      <x:c r="H77" t="str">
        <x:v>Variable</x:v>
      </x:c>
      <x:c r="I77" t="str"/>
      <x:c r="J77" t="str">
        <x:v>2.20.16</x:v>
      </x:c>
    </x:row>
    <x:row r="78" ht="24" customHeight="1">
      <x:c r="A78" t="n">
        <x:v>77</x:v>
      </x:c>
      <x:c r="B78" t="str">
        <x:v>Kit Viajero Organizador De Ropa 7 Piezas</x:v>
      </x:c>
      <x:c r="C78" t="str">
        <x:v>Hogar</x:v>
      </x:c>
      <x:c r="D78" s="42" t="n">
        <x:v>24900</x:v>
      </x:c>
      <x:c r="E78" s="42" t="n">
        <x:v>29900</x:v>
      </x:c>
      <x:c r="F78" s="46" t="n">
        <x:v>175</x:v>
      </x:c>
      <x:c r="G78" t="str">
        <x:v>Exclusivo</x:v>
      </x:c>
      <x:c r="H78" t="str">
        <x:v>No visible</x:v>
      </x:c>
      <x:c r="I78" t="str"/>
      <x:c r="J78" t="str">
        <x:v>2.20.16</x:v>
      </x:c>
    </x:row>
    <x:row r="79" ht="24" customHeight="1">
      <x:c r="A79" t="n">
        <x:v>78</x:v>
      </x:c>
      <x:c r="B79" t="str">
        <x:v>Cesto Triple Plegable Para Ropa Sucia</x:v>
      </x:c>
      <x:c r="C79" t="str">
        <x:v>Hogar</x:v>
      </x:c>
      <x:c r="D79" s="42" t="n">
        <x:v>26900</x:v>
      </x:c>
      <x:c r="E79" s="42" t="n">
        <x:v>34900</x:v>
      </x:c>
      <x:c r="F79" s="46" t="n">
        <x:v>455</x:v>
      </x:c>
      <x:c r="G79" t="str">
        <x:v>Exclusivo</x:v>
      </x:c>
      <x:c r="H79" t="str">
        <x:v>No visible</x:v>
      </x:c>
      <x:c r="I79" t="str"/>
      <x:c r="J79" t="str">
        <x:v>2.20.16</x:v>
      </x:c>
    </x:row>
    <x:row r="80" ht="24" customHeight="1">
      <x:c r="A80" t="n">
        <x:v>79</x:v>
      </x:c>
      <x:c r="B80" t="str">
        <x:v>Lampara 30 Led Solar Con Sensor</x:v>
      </x:c>
      <x:c r="C80" t="str">
        <x:v>Tecnología</x:v>
      </x:c>
      <x:c r="D80" s="42" t="n">
        <x:v>13000</x:v>
      </x:c>
      <x:c r="E80" s="42" t="n">
        <x:v>19900</x:v>
      </x:c>
      <x:c r="F80" s="46" t="n">
        <x:v>20</x:v>
      </x:c>
      <x:c r="G80" t="str">
        <x:v>Exclusivo</x:v>
      </x:c>
      <x:c r="H80" t="str">
        <x:v>No visible</x:v>
      </x:c>
      <x:c r="I80" t="str"/>
      <x:c r="J80" t="str">
        <x:v>2.20.16</x:v>
      </x:c>
    </x:row>
    <x:row r="81" ht="24" customHeight="1">
      <x:c r="A81" t="n">
        <x:v>80</x:v>
      </x:c>
      <x:c r="B81" t="str">
        <x:v>Set Secador Cepillo Aguacate</x:v>
      </x:c>
      <x:c r="C81" t="str">
        <x:v>Belleza</x:v>
      </x:c>
      <x:c r="D81" s="42" t="n">
        <x:v>48900</x:v>
      </x:c>
      <x:c r="E81" s="42" t="n">
        <x:v>54900</x:v>
      </x:c>
      <x:c r="F81" s="46"/>
      <x:c r="G81" t="str">
        <x:v>Exclusivo</x:v>
      </x:c>
      <x:c r="H81" t="str">
        <x:v>No visible</x:v>
      </x:c>
      <x:c r="I81" t="str">
        <x:v>Stock no legible en captura</x:v>
      </x:c>
      <x:c r="J81" t="str">
        <x:v>2.20.16</x:v>
      </x:c>
    </x:row>
    <x:row r="82" ht="24" customHeight="1">
      <x:c r="A82" t="n">
        <x:v>81</x:v>
      </x:c>
      <x:c r="B82" t="str">
        <x:v>Taladro Inalambrico De 18v Con Percutor</x:v>
      </x:c>
      <x:c r="C82" t="str">
        <x:v>Herramientas</x:v>
      </x:c>
      <x:c r="D82" s="42" t="n">
        <x:v>145000</x:v>
      </x:c>
      <x:c r="E82" s="42" t="n">
        <x:v>159900</x:v>
      </x:c>
      <x:c r="F82" s="46" t="n">
        <x:v>47</x:v>
      </x:c>
      <x:c r="G82" t="str">
        <x:v>Exclusivo</x:v>
      </x:c>
      <x:c r="H82" t="str">
        <x:v>No visible</x:v>
      </x:c>
      <x:c r="I82" t="str"/>
      <x:c r="J82" t="str">
        <x:v>2.20.16</x:v>
      </x:c>
    </x:row>
    <x:row r="83" ht="24" customHeight="1">
      <x:c r="A83" t="n">
        <x:v>82</x:v>
      </x:c>
      <x:c r="B83" t="str">
        <x:v>Protector Funda Sofa 2 Puestos Elastico</x:v>
      </x:c>
      <x:c r="C83" t="str">
        <x:v>Mascotas</x:v>
      </x:c>
      <x:c r="D83" s="42" t="n">
        <x:v>39900</x:v>
      </x:c>
      <x:c r="E83" s="42" t="n">
        <x:v>49900</x:v>
      </x:c>
      <x:c r="F83" s="46" t="n">
        <x:v>24</x:v>
      </x:c>
      <x:c r="G83" t="str">
        <x:v>Exclusivo</x:v>
      </x:c>
      <x:c r="H83" t="str">
        <x:v>No visible</x:v>
      </x:c>
      <x:c r="I83" t="str"/>
      <x:c r="J83" t="str">
        <x:v>2.20.16</x:v>
      </x:c>
    </x:row>
    <x:row r="84" ht="24" customHeight="1">
      <x:c r="A84" t="n">
        <x:v>83</x:v>
      </x:c>
      <x:c r="B84" t="str">
        <x:v>Irrigador Oral Recargable Sarro 4 Boqui</x:v>
      </x:c>
      <x:c r="C84" t="str">
        <x:v>Salud</x:v>
      </x:c>
      <x:c r="D84" s="42" t="n">
        <x:v>16900</x:v>
      </x:c>
      <x:c r="E84" s="42" t="n">
        <x:v>44900</x:v>
      </x:c>
      <x:c r="F84" s="46" t="n">
        <x:v>1960</x:v>
      </x:c>
      <x:c r="G84" t="str">
        <x:v>Exclusivo</x:v>
      </x:c>
      <x:c r="H84" t="str">
        <x:v>Variable</x:v>
      </x:c>
      <x:c r="I84" t="str"/>
      <x:c r="J84" t="str">
        <x:v>2.20.16</x:v>
      </x:c>
    </x:row>
    <x:row r="85" ht="24" customHeight="1">
      <x:c r="A85" t="n">
        <x:v>84</x:v>
      </x:c>
      <x:c r="B85" t="str">
        <x:v>Crispetera Electrica</x:v>
      </x:c>
      <x:c r="C85" t="str">
        <x:v>Cocina</x:v>
      </x:c>
      <x:c r="D85" s="42" t="n">
        <x:v>35900</x:v>
      </x:c>
      <x:c r="E85" s="42" t="n">
        <x:v>40900</x:v>
      </x:c>
      <x:c r="F85" s="46" t="n">
        <x:v>171</x:v>
      </x:c>
      <x:c r="G85" t="str">
        <x:v>Exclusivo</x:v>
      </x:c>
      <x:c r="H85" t="str">
        <x:v>No visible</x:v>
      </x:c>
      <x:c r="I85" t="str"/>
      <x:c r="J85" t="str">
        <x:v>2.20.16</x:v>
      </x:c>
    </x:row>
    <x:row r="86" ht="24" customHeight="1">
      <x:c r="A86" t="n">
        <x:v>85</x:v>
      </x:c>
      <x:c r="B86" t="str">
        <x:v>Muneca Voladora Drones Ninos Juguete Rec</x:v>
      </x:c>
      <x:c r="C86" t="str">
        <x:v>Juguetería</x:v>
      </x:c>
      <x:c r="D86" s="42" t="n">
        <x:v>13900</x:v>
      </x:c>
      <x:c r="E86" s="42" t="n">
        <x:v>41900</x:v>
      </x:c>
      <x:c r="F86" s="46" t="n">
        <x:v>241</x:v>
      </x:c>
      <x:c r="G86" t="str">
        <x:v>Exclusivo</x:v>
      </x:c>
      <x:c r="H86" t="str">
        <x:v>Variable</x:v>
      </x:c>
      <x:c r="I86" t="str">
        <x:v>Nombre visible parcial</x:v>
      </x:c>
      <x:c r="J86" t="str">
        <x:v>2.20.16</x:v>
      </x:c>
    </x:row>
    <x:row r="87" ht="24" customHeight="1">
      <x:c r="A87" t="n">
        <x:v>86</x:v>
      </x:c>
      <x:c r="B87" t="str">
        <x:v>Dispensador Crema Dental Soporte Porta</x:v>
      </x:c>
      <x:c r="C87" t="str">
        <x:v>Salud</x:v>
      </x:c>
      <x:c r="D87" s="42" t="n">
        <x:v>19700</x:v>
      </x:c>
      <x:c r="E87" s="42" t="n">
        <x:v>20000</x:v>
      </x:c>
      <x:c r="F87" s="46" t="n">
        <x:v>5</x:v>
      </x:c>
      <x:c r="G87" t="str">
        <x:v>Exclusivo</x:v>
      </x:c>
      <x:c r="H87" t="str">
        <x:v>Variable</x:v>
      </x:c>
      <x:c r="I87" t="str"/>
      <x:c r="J87" t="str">
        <x:v>2.20.16</x:v>
      </x:c>
    </x:row>
    <x:row r="88" ht="24" customHeight="1">
      <x:c r="A88" t="n">
        <x:v>87</x:v>
      </x:c>
      <x:c r="B88" t="str">
        <x:v>Lampara De Escritorio Con Base Brazo</x:v>
      </x:c>
      <x:c r="C88" t="str">
        <x:v>Tecnología</x:v>
      </x:c>
      <x:c r="D88" s="42" t="n">
        <x:v>37900</x:v>
      </x:c>
      <x:c r="E88" s="42" t="n">
        <x:v>49900</x:v>
      </x:c>
      <x:c r="F88" s="46" t="n">
        <x:v>79</x:v>
      </x:c>
      <x:c r="G88" t="str">
        <x:v>Exclusivo</x:v>
      </x:c>
      <x:c r="H88" t="str">
        <x:v>No visible</x:v>
      </x:c>
      <x:c r="I88" t="str"/>
      <x:c r="J88" t="str">
        <x:v>2.20.16</x:v>
      </x:c>
    </x:row>
    <x:row r="89" ht="24" customHeight="1">
      <x:c r="A89" t="n">
        <x:v>88</x:v>
      </x:c>
      <x:c r="B89" t="str">
        <x:v>Picador De Verduras Bravo</x:v>
      </x:c>
      <x:c r="C89" t="str">
        <x:v>Cocina</x:v>
      </x:c>
      <x:c r="D89" s="42" t="n">
        <x:v>20900</x:v>
      </x:c>
      <x:c r="E89" s="42" t="n">
        <x:v>30900</x:v>
      </x:c>
      <x:c r="F89" s="46" t="n">
        <x:v>299</x:v>
      </x:c>
      <x:c r="G89" t="str">
        <x:v>Exclusivo</x:v>
      </x:c>
      <x:c r="H89" t="str">
        <x:v>No visible</x:v>
      </x:c>
      <x:c r="I89" t="str"/>
      <x:c r="J89" t="str">
        <x:v>2.20.16</x:v>
      </x:c>
    </x:row>
    <x:row r="90" ht="24" customHeight="1">
      <x:c r="A90" t="n">
        <x:v>89</x:v>
      </x:c>
      <x:c r="B90" t="str">
        <x:v>Kit Solar Killo 3 Bombillos Bateria</x:v>
      </x:c>
      <x:c r="C90" t="str">
        <x:v>Tecnología</x:v>
      </x:c>
      <x:c r="D90" s="42" t="n">
        <x:v>64900</x:v>
      </x:c>
      <x:c r="E90" s="42" t="n">
        <x:v>79900</x:v>
      </x:c>
      <x:c r="F90" s="46" t="n">
        <x:v>76</x:v>
      </x:c>
      <x:c r="G90" t="str">
        <x:v>Exclusivo</x:v>
      </x:c>
      <x:c r="H90" t="str">
        <x:v>No visible</x:v>
      </x:c>
      <x:c r="I90" t="str"/>
      <x:c r="J90" t="str">
        <x:v>2.20.16</x:v>
      </x:c>
    </x:row>
    <x:row r="91" ht="24" customHeight="1">
      <x:c r="A91" t="n">
        <x:v>90</x:v>
      </x:c>
      <x:c r="B91" t="str">
        <x:v>Aspiradora Inalambrica Vertical</x:v>
      </x:c>
      <x:c r="C91" t="str">
        <x:v>Herramientas</x:v>
      </x:c>
      <x:c r="D91" s="42" t="n">
        <x:v>47900</x:v>
      </x:c>
      <x:c r="E91" s="42"/>
      <x:c r="F91" s="46"/>
      <x:c r="G91" t="str">
        <x:v>Exclusivo</x:v>
      </x:c>
      <x:c r="H91" t="str">
        <x:v>No visible</x:v>
      </x:c>
      <x:c r="I91" t="str">
        <x:v>Precio/stock parcialmente visibles</x:v>
      </x:c>
      <x:c r="J91" t="str">
        <x:v>2.20.16</x:v>
      </x:c>
    </x:row>
    <x:row r="92" ht="24" customHeight="1">
      <x:c r="A92" t="n">
        <x:v>91</x:v>
      </x:c>
      <x:c r="B92" t="str">
        <x:v>Radio Walkie Talkie Baofeng Bf888s</x:v>
      </x:c>
      <x:c r="C92" t="str">
        <x:v>Tecnología</x:v>
      </x:c>
      <x:c r="D92" s="42" t="n">
        <x:v>49000</x:v>
      </x:c>
      <x:c r="E92" s="42" t="n">
        <x:v>84900</x:v>
      </x:c>
      <x:c r="F92" s="46" t="n">
        <x:v>865</x:v>
      </x:c>
      <x:c r="G92" t="str">
        <x:v>Exclusivo</x:v>
      </x:c>
      <x:c r="H92" t="str">
        <x:v>No visible</x:v>
      </x:c>
      <x:c r="I92" t="str"/>
      <x:c r="J92" t="str">
        <x:v>2.20.23</x:v>
      </x:c>
    </x:row>
    <x:row r="93" ht="24" customHeight="1">
      <x:c r="A93" t="n">
        <x:v>92</x:v>
      </x:c>
      <x:c r="B93" t="str">
        <x:v>Tobillera Doble Compresion Elastico</x:v>
      </x:c>
      <x:c r="C93" t="str">
        <x:v>Ropa Deportiva</x:v>
      </x:c>
      <x:c r="D93" s="42" t="n">
        <x:v>14900</x:v>
      </x:c>
      <x:c r="E93" s="42" t="n">
        <x:v>19900</x:v>
      </x:c>
      <x:c r="F93" s="46" t="n">
        <x:v>54</x:v>
      </x:c>
      <x:c r="G93" t="str">
        <x:v>Exclusivo</x:v>
      </x:c>
      <x:c r="H93" t="str">
        <x:v>No visible</x:v>
      </x:c>
      <x:c r="I93" t="str"/>
      <x:c r="J93" t="str">
        <x:v>2.20.23</x:v>
      </x:c>
    </x:row>
    <x:row r="94" ht="24" customHeight="1">
      <x:c r="A94" t="n">
        <x:v>93</x:v>
      </x:c>
      <x:c r="B94" t="str">
        <x:v>Set Bolsas 7 Piezas 3 Piezas Para nte</x:v>
      </x:c>
      <x:c r="C94" t="str">
        <x:v>Hogar</x:v>
      </x:c>
      <x:c r="D94" s="42" t="n">
        <x:v>29900</x:v>
      </x:c>
      <x:c r="E94" s="42" t="n">
        <x:v>49900</x:v>
      </x:c>
      <x:c r="F94" s="46" t="n">
        <x:v>47</x:v>
      </x:c>
      <x:c r="G94" t="str">
        <x:v>Exclusivo</x:v>
      </x:c>
      <x:c r="H94" t="str">
        <x:v>No visible</x:v>
      </x:c>
      <x:c r="I94" t="str">
        <x:v>Nombre visible parcial</x:v>
      </x:c>
      <x:c r="J94" t="str">
        <x:v>2.20.23</x:v>
      </x:c>
    </x:row>
    <x:row r="95" ht="24" customHeight="1">
      <x:c r="A95" t="n">
        <x:v>94</x:v>
      </x:c>
      <x:c r="B95" t="str">
        <x:v>Herramientas De Copas Y Llaves</x:v>
      </x:c>
      <x:c r="C95" t="str">
        <x:v>Herramientas</x:v>
      </x:c>
      <x:c r="D95" s="42" t="n">
        <x:v>45900</x:v>
      </x:c>
      <x:c r="E95" s="42" t="n">
        <x:v>55900</x:v>
      </x:c>
      <x:c r="F95" s="46" t="n">
        <x:v>496</x:v>
      </x:c>
      <x:c r="G95" t="str">
        <x:v>Exclusivo</x:v>
      </x:c>
      <x:c r="H95" t="str">
        <x:v>No visible</x:v>
      </x:c>
      <x:c r="I95" t="str"/>
      <x:c r="J95" t="str">
        <x:v>2.20.23</x:v>
      </x:c>
    </x:row>
    <x:row r="96" ht="24" customHeight="1">
      <x:c r="A96" t="n">
        <x:v>95</x:v>
      </x:c>
      <x:c r="B96" t="str">
        <x:v>Masajeador Facial Reductor De Papada Eco</x:v>
      </x:c>
      <x:c r="C96" t="str">
        <x:v>Belleza</x:v>
      </x:c>
      <x:c r="D96" s="42" t="n">
        <x:v>19800</x:v>
      </x:c>
      <x:c r="E96" s="42" t="n">
        <x:v>29900</x:v>
      </x:c>
      <x:c r="F96" s="46" t="n">
        <x:v>278</x:v>
      </x:c>
      <x:c r="G96" t="str">
        <x:v>Exclusivo</x:v>
      </x:c>
      <x:c r="H96" t="str">
        <x:v>No visible</x:v>
      </x:c>
      <x:c r="I96" t="str"/>
      <x:c r="J96" t="str">
        <x:v>2.20.23</x:v>
      </x:c>
    </x:row>
    <x:row r="97" ht="24" customHeight="1">
      <x:c r="A97" t="n">
        <x:v>96</x:v>
      </x:c>
      <x:c r="B97" t="str">
        <x:v>Combo Plancha Cepillo Aguacate Rizado</x:v>
      </x:c>
      <x:c r="C97" t="str">
        <x:v>Tecnología</x:v>
      </x:c>
      <x:c r="D97" s="42" t="n">
        <x:v>74900</x:v>
      </x:c>
      <x:c r="E97" s="42" t="n">
        <x:v>84900</x:v>
      </x:c>
      <x:c r="F97" s="46" t="n">
        <x:v>279</x:v>
      </x:c>
      <x:c r="G97" t="str">
        <x:v>Exclusivo</x:v>
      </x:c>
      <x:c r="H97" t="str">
        <x:v>No visible</x:v>
      </x:c>
      <x:c r="I97" t="str"/>
      <x:c r="J97" t="str">
        <x:v>2.20.23</x:v>
      </x:c>
    </x:row>
    <x:row r="98" ht="24" customHeight="1">
      <x:c r="A98" t="n">
        <x:v>97</x:v>
      </x:c>
      <x:c r="B98" t="str">
        <x:v>Transmisor Carro Carg7 Usb Aux Bluetooth</x:v>
      </x:c>
      <x:c r="C98" t="str">
        <x:v>Tecnología</x:v>
      </x:c>
      <x:c r="D98" s="42" t="n">
        <x:v>14900</x:v>
      </x:c>
      <x:c r="E98" s="42" t="n">
        <x:v>19900</x:v>
      </x:c>
      <x:c r="F98" s="46" t="n">
        <x:v>44</x:v>
      </x:c>
      <x:c r="G98" t="str">
        <x:v>Exclusivo</x:v>
      </x:c>
      <x:c r="H98" t="str">
        <x:v>No visible</x:v>
      </x:c>
      <x:c r="I98" t="str"/>
      <x:c r="J98" t="str">
        <x:v>2.20.23</x:v>
      </x:c>
    </x:row>
    <x:row r="99" ht="24" customHeight="1">
      <x:c r="A99" t="n">
        <x:v>98</x:v>
      </x:c>
      <x:c r="B99" t="str">
        <x:v>Combo Hidrolavadora aspirador Porta 2ba</x:v>
      </x:c>
      <x:c r="C99" t="str">
        <x:v>Tecnología</x:v>
      </x:c>
      <x:c r="D99" s="42" t="n">
        <x:v>54900</x:v>
      </x:c>
      <x:c r="E99" s="42" t="n">
        <x:v>69900</x:v>
      </x:c>
      <x:c r="F99" s="46" t="n">
        <x:v>760</x:v>
      </x:c>
      <x:c r="G99" t="str">
        <x:v>Exclusivo</x:v>
      </x:c>
      <x:c r="H99" t="str">
        <x:v>No visible</x:v>
      </x:c>
      <x:c r="I99" t="str">
        <x:v>Nombre visible parcial</x:v>
      </x:c>
      <x:c r="J99" t="str">
        <x:v>2.20.23</x:v>
      </x:c>
    </x:row>
    <x:row r="100" ht="24" customHeight="1">
      <x:c r="A100" t="n">
        <x:v>99</x:v>
      </x:c>
      <x:c r="B100" t="str">
        <x:v>Cepillo Plancha Secador 2 En 1 Alisador</x:v>
      </x:c>
      <x:c r="C100" t="str">
        <x:v>Belleza</x:v>
      </x:c>
      <x:c r="D100" s="42" t="n">
        <x:v>12900</x:v>
      </x:c>
      <x:c r="E100" s="42" t="n">
        <x:v>17900</x:v>
      </x:c>
      <x:c r="F100" s="46" t="n">
        <x:v>288</x:v>
      </x:c>
      <x:c r="G100" t="str">
        <x:v>Exclusivo</x:v>
      </x:c>
      <x:c r="H100" t="str">
        <x:v>No visible</x:v>
      </x:c>
      <x:c r="I100" t="str"/>
      <x:c r="J100" t="str">
        <x:v>2.20.23</x:v>
      </x:c>
    </x:row>
    <x:row r="101">
      <x:c r="A101" t="n">
        <x:v>100</x:v>
      </x:c>
      <x:c r="B101" t="str">
        <x:v>Ejercitador Suelo Pelvico Entrenador</x:v>
      </x:c>
      <x:c r="C101" t="str">
        <x:v>Deportes</x:v>
      </x:c>
      <x:c r="D101" s="42" t="n">
        <x:v>13500</x:v>
      </x:c>
      <x:c r="E101" s="42" t="n">
        <x:v>19900</x:v>
      </x:c>
      <x:c r="F101" s="46" t="n">
        <x:v>28</x:v>
      </x:c>
      <x:c r="G101" t="str">
        <x:v>Exclusivo</x:v>
      </x:c>
      <x:c r="H101" t="str">
        <x:v>No visible</x:v>
      </x:c>
      <x:c r="I101" t="str"/>
      <x:c r="J101" t="str">
        <x:v>2.20.23</x:v>
      </x:c>
    </x:row>
    <x:row r="102">
      <x:c r="A102" t="n">
        <x:v>101</x:v>
      </x:c>
      <x:c r="B102" t="str">
        <x:v>Depiladora De Cristal Removedor De Vello</x:v>
      </x:c>
      <x:c r="C102" t="str">
        <x:v>Belleza</x:v>
      </x:c>
      <x:c r="D102" s="42" t="n">
        <x:v>12000</x:v>
      </x:c>
      <x:c r="E102" s="42" t="n">
        <x:v>17900</x:v>
      </x:c>
      <x:c r="F102" s="46" t="n">
        <x:v>29</x:v>
      </x:c>
      <x:c r="G102" t="str">
        <x:v>Exclusivo</x:v>
      </x:c>
      <x:c r="H102" t="str">
        <x:v>No visible</x:v>
      </x:c>
      <x:c r="I102" t="str"/>
      <x:c r="J102" t="str">
        <x:v>2.20.23</x:v>
      </x:c>
    </x:row>
    <x:row r="103">
      <x:c r="A103" t="n">
        <x:v>102</x:v>
      </x:c>
      <x:c r="B103" t="str">
        <x:v>Hidrolavadora 2 Baterias Juego Ratches</x:v>
      </x:c>
      <x:c r="C103" t="str">
        <x:v>Hogar</x:v>
      </x:c>
      <x:c r="D103" s="42" t="n">
        <x:v>57900</x:v>
      </x:c>
      <x:c r="E103" s="42" t="n">
        <x:v>69900</x:v>
      </x:c>
      <x:c r="F103" s="46" t="n">
        <x:v>926</x:v>
      </x:c>
      <x:c r="G103" t="str">
        <x:v>Exclusivo</x:v>
      </x:c>
      <x:c r="H103" t="str">
        <x:v>No visible</x:v>
      </x:c>
      <x:c r="I103" t="str"/>
      <x:c r="J103" t="str">
        <x:v>2.20.23</x:v>
      </x:c>
    </x:row>
    <x:row r="104">
      <x:c r="A104" t="n">
        <x:v>103</x:v>
      </x:c>
      <x:c r="B104" t="str">
        <x:v>Peluche Muneco Juguete Respira Calma</x:v>
      </x:c>
      <x:c r="C104" t="str">
        <x:v>Bebé</x:v>
      </x:c>
      <x:c r="D104" s="42" t="n">
        <x:v>75000</x:v>
      </x:c>
      <x:c r="E104" s="42" t="n">
        <x:v>95000</x:v>
      </x:c>
      <x:c r="F104" s="46" t="n">
        <x:v>50</x:v>
      </x:c>
      <x:c r="G104" t="str">
        <x:v>Exclusivo</x:v>
      </x:c>
      <x:c r="H104" t="str">
        <x:v>No visible</x:v>
      </x:c>
      <x:c r="I104" t="str"/>
      <x:c r="J104" t="str">
        <x:v>2.20.23</x:v>
      </x:c>
    </x:row>
    <x:row r="105">
      <x:c r="A105" t="n">
        <x:v>104</x:v>
      </x:c>
      <x:c r="B105" t="str">
        <x:v>Llave Universal 48 En 1 Multifuncion</x:v>
      </x:c>
      <x:c r="C105" t="str">
        <x:v>Vehículos</x:v>
      </x:c>
      <x:c r="D105" s="42" t="n">
        <x:v>17900</x:v>
      </x:c>
      <x:c r="E105" s="42" t="n">
        <x:v>19900</x:v>
      </x:c>
      <x:c r="F105" s="46" t="n">
        <x:v>120</x:v>
      </x:c>
      <x:c r="G105" t="str">
        <x:v>Exclusivo</x:v>
      </x:c>
      <x:c r="H105" t="str">
        <x:v>No visible</x:v>
      </x:c>
      <x:c r="I105" t="str"/>
      <x:c r="J105" t="str">
        <x:v>2.20.23</x:v>
      </x:c>
    </x:row>
    <x:row r="106">
      <x:c r="A106" t="n">
        <x:v>105</x:v>
      </x:c>
      <x:c r="B106" t="str">
        <x:v>Lamparas Luz Led X3 Portatil Inalambrica</x:v>
      </x:c>
      <x:c r="C106" t="str">
        <x:v>Tecnología</x:v>
      </x:c>
      <x:c r="D106" s="42" t="n">
        <x:v>15400</x:v>
      </x:c>
      <x:c r="E106" s="42" t="n">
        <x:v>20900</x:v>
      </x:c>
      <x:c r="F106" s="46" t="n">
        <x:v>37</x:v>
      </x:c>
      <x:c r="G106" t="str">
        <x:v>Exclusivo</x:v>
      </x:c>
      <x:c r="H106" t="str">
        <x:v>No visible</x:v>
      </x:c>
      <x:c r="I106" t="str"/>
      <x:c r="J106" t="str">
        <x:v>2.20.23</x:v>
      </x:c>
    </x:row>
    <x:row r="107">
      <x:c r="A107" t="n">
        <x:v>106</x:v>
      </x:c>
      <x:c r="B107" t="str">
        <x:v>Caneca Basurero Bote Cocina Plegable</x:v>
      </x:c>
      <x:c r="C107" t="str">
        <x:v>Hogar</x:v>
      </x:c>
      <x:c r="D107" s="42" t="n">
        <x:v>24900</x:v>
      </x:c>
      <x:c r="E107" s="42" t="n">
        <x:v>34900</x:v>
      </x:c>
      <x:c r="F107" s="46" t="n">
        <x:v>34</x:v>
      </x:c>
      <x:c r="G107" t="str">
        <x:v>Exclusivo</x:v>
      </x:c>
      <x:c r="H107" t="str">
        <x:v>No visible</x:v>
      </x:c>
      <x:c r="I107" t="str"/>
      <x:c r="J107" t="str">
        <x:v>2.20.23</x:v>
      </x:c>
    </x:row>
    <x:row r="108">
      <x:c r="A108" t="n">
        <x:v>107</x:v>
      </x:c>
      <x:c r="B108" t="str">
        <x:v>Papel Encerado Para Olla Freidora X100</x:v>
      </x:c>
      <x:c r="C108" t="str">
        <x:v>Cocina</x:v>
      </x:c>
      <x:c r="D108" s="42" t="n">
        <x:v>7900</x:v>
      </x:c>
      <x:c r="E108" s="42" t="n">
        <x:v>12000</x:v>
      </x:c>
      <x:c r="F108" s="46" t="n">
        <x:v>317</x:v>
      </x:c>
      <x:c r="G108" t="str">
        <x:v>Exclusivo</x:v>
      </x:c>
      <x:c r="H108" t="str">
        <x:v>No visible</x:v>
      </x:c>
      <x:c r="I108" t="str"/>
      <x:c r="J108" t="str">
        <x:v>2.20.23</x:v>
      </x:c>
    </x:row>
    <x:row r="109">
      <x:c r="A109" t="n">
        <x:v>108</x:v>
      </x:c>
      <x:c r="B109" t="str">
        <x:v>Combo De Almohadas 3d Algodon Full Cal</x:v>
      </x:c>
      <x:c r="C109" t="str">
        <x:v>Salud</x:v>
      </x:c>
      <x:c r="D109" s="42" t="n">
        <x:v>43500</x:v>
      </x:c>
      <x:c r="E109" s="42" t="n">
        <x:v>59900</x:v>
      </x:c>
      <x:c r="F109" s="46" t="n">
        <x:v>1731</x:v>
      </x:c>
      <x:c r="G109" t="str">
        <x:v>Exclusivo</x:v>
      </x:c>
      <x:c r="H109" t="str">
        <x:v>No visible</x:v>
      </x:c>
      <x:c r="I109" t="str">
        <x:v>Nombre visible parcial</x:v>
      </x:c>
      <x:c r="J109" t="str">
        <x:v>2.20.23</x:v>
      </x:c>
    </x:row>
    <x:row r="110">
      <x:c r="A110" t="n">
        <x:v>109</x:v>
      </x:c>
      <x:c r="B110" t="str">
        <x:v>Camara De Seguridad Hd 1080p Espia</x:v>
      </x:c>
      <x:c r="C110" t="str">
        <x:v>Tecnología</x:v>
      </x:c>
      <x:c r="D110" s="42" t="n">
        <x:v>75900</x:v>
      </x:c>
      <x:c r="E110" s="42" t="n">
        <x:v>95900</x:v>
      </x:c>
      <x:c r="F110" s="46" t="n">
        <x:v>28</x:v>
      </x:c>
      <x:c r="G110" t="str">
        <x:v>Exclusivo</x:v>
      </x:c>
      <x:c r="H110" t="str">
        <x:v>No visible</x:v>
      </x:c>
      <x:c r="I110" t="str"/>
      <x:c r="J110" t="str">
        <x:v>2.20.23</x:v>
      </x:c>
    </x:row>
    <x:row r="111">
      <x:c r="A111" t="n">
        <x:v>110</x:v>
      </x:c>
      <x:c r="B111" t="str">
        <x:v>Organizador De Loza Triple Nivel</x:v>
      </x:c>
      <x:c r="C111" t="str">
        <x:v>Cocina</x:v>
      </x:c>
      <x:c r="D111" s="42" t="n">
        <x:v>54900</x:v>
      </x:c>
      <x:c r="E111" s="42" t="n">
        <x:v>70000</x:v>
      </x:c>
      <x:c r="F111" s="46" t="n">
        <x:v>5</x:v>
      </x:c>
      <x:c r="G111" t="str">
        <x:v>Exclusivo</x:v>
      </x:c>
      <x:c r="H111" t="str">
        <x:v>No visible</x:v>
      </x:c>
      <x:c r="I111" t="str"/>
      <x:c r="J111" t="str">
        <x:v>2.20.23</x:v>
      </x:c>
    </x:row>
    <x:row r="112">
      <x:c r="A112" t="n">
        <x:v>111</x:v>
      </x:c>
      <x:c r="B112" t="str">
        <x:v>Juego De Copas Wrench 46 Piezas</x:v>
      </x:c>
      <x:c r="C112" t="str">
        <x:v>Herramientas</x:v>
      </x:c>
      <x:c r="D112" s="42" t="n">
        <x:v>16800</x:v>
      </x:c>
      <x:c r="E112" s="42" t="n">
        <x:v>24900</x:v>
      </x:c>
      <x:c r="F112" s="46" t="n">
        <x:v>437</x:v>
      </x:c>
      <x:c r="G112" t="str">
        <x:v>Exclusivo</x:v>
      </x:c>
      <x:c r="H112" t="str">
        <x:v>No visible</x:v>
      </x:c>
      <x:c r="I112" t="str"/>
      <x:c r="J112" t="str">
        <x:v>2.20.23</x:v>
      </x:c>
    </x:row>
    <x:row r="113">
      <x:c r="A113" t="n">
        <x:v>112</x:v>
      </x:c>
      <x:c r="B113" t="str">
        <x:v>Doppler Fetal Ultrasonido Monitor De Lat</x:v>
      </x:c>
      <x:c r="C113" t="str">
        <x:v>Bebé</x:v>
      </x:c>
      <x:c r="D113" s="42" t="n">
        <x:v>23900</x:v>
      </x:c>
      <x:c r="E113" s="42" t="n">
        <x:v>34900</x:v>
      </x:c>
      <x:c r="F113" s="46" t="n">
        <x:v>97</x:v>
      </x:c>
      <x:c r="G113" t="str">
        <x:v>Exclusivo</x:v>
      </x:c>
      <x:c r="H113" t="str">
        <x:v>No visible</x:v>
      </x:c>
      <x:c r="I113" t="str">
        <x:v>Nombre visible parcial</x:v>
      </x:c>
      <x:c r="J113" t="str">
        <x:v>2.20.23</x:v>
      </x:c>
    </x:row>
    <x:row r="114">
      <x:c r="A114" t="n">
        <x:v>113</x:v>
      </x:c>
      <x:c r="B114" t="str">
        <x:v>Kit De Marcadores De 48 Rotuladores</x:v>
      </x:c>
      <x:c r="C114" t="str">
        <x:v>Bisutería</x:v>
      </x:c>
      <x:c r="D114" s="42" t="n">
        <x:v>24900</x:v>
      </x:c>
      <x:c r="E114" s="42" t="n">
        <x:v>29900</x:v>
      </x:c>
      <x:c r="F114" s="46" t="n">
        <x:v>187</x:v>
      </x:c>
      <x:c r="G114" t="str">
        <x:v>Exclusivo</x:v>
      </x:c>
      <x:c r="H114" t="str">
        <x:v>No visible</x:v>
      </x:c>
      <x:c r="I114" t="str"/>
      <x:c r="J114" t="str">
        <x:v>2.20.23</x:v>
      </x:c>
    </x:row>
    <x:row r="115">
      <x:c r="A115" t="n">
        <x:v>114</x:v>
      </x:c>
      <x:c r="B115" t="str">
        <x:v>Combo Nanosecador</x:v>
      </x:c>
      <x:c r="C115" t="str">
        <x:v>Tecnología</x:v>
      </x:c>
      <x:c r="D115" s="42" t="n">
        <x:v>75900</x:v>
      </x:c>
      <x:c r="E115" s="42" t="n">
        <x:v>90000</x:v>
      </x:c>
      <x:c r="F115" s="46" t="n">
        <x:v>109</x:v>
      </x:c>
      <x:c r="G115" t="str">
        <x:v>Exclusivo</x:v>
      </x:c>
      <x:c r="H115" t="str">
        <x:v>No visible</x:v>
      </x:c>
      <x:c r="I115" t="str"/>
      <x:c r="J115" t="str">
        <x:v>2.20.23</x:v>
      </x:c>
    </x:row>
    <x:row r="116">
      <x:c r="A116" t="n">
        <x:v>115</x:v>
      </x:c>
      <x:c r="B116" t="str">
        <x:v>Kit X12 Piezas De Marcadores Dobles</x:v>
      </x:c>
      <x:c r="C116" t="str">
        <x:v>Otro</x:v>
      </x:c>
      <x:c r="D116" s="42" t="n">
        <x:v>47900</x:v>
      </x:c>
      <x:c r="E116" s="42" t="n">
        <x:v>54900</x:v>
      </x:c>
      <x:c r="F116" s="46" t="n">
        <x:v>194</x:v>
      </x:c>
      <x:c r="G116" t="str">
        <x:v>Exclusivo</x:v>
      </x:c>
      <x:c r="H116" t="str">
        <x:v>No visible</x:v>
      </x:c>
      <x:c r="I116" t="str"/>
      <x:c r="J116" t="str">
        <x:v>2.20.23</x:v>
      </x:c>
    </x:row>
    <x:row r="117">
      <x:c r="A117" t="n">
        <x:v>116</x:v>
      </x:c>
      <x:c r="B117" t="str">
        <x:v>Peluche Astronauta Proyector De Estrella</x:v>
      </x:c>
      <x:c r="C117" t="str">
        <x:v>Juguetería</x:v>
      </x:c>
      <x:c r="D117" s="42" t="n">
        <x:v>74900</x:v>
      </x:c>
      <x:c r="E117" s="42" t="n">
        <x:v>89900</x:v>
      </x:c>
      <x:c r="F117" s="46" t="n">
        <x:v>50</x:v>
      </x:c>
      <x:c r="G117" t="str">
        <x:v>Exclusivo</x:v>
      </x:c>
      <x:c r="H117" t="str">
        <x:v>No visible</x:v>
      </x:c>
      <x:c r="I117" t="str"/>
      <x:c r="J117" t="str">
        <x:v>2.20.23</x:v>
      </x:c>
    </x:row>
    <x:row r="118">
      <x:c r="A118" t="n">
        <x:v>117</x:v>
      </x:c>
      <x:c r="B118" t="str">
        <x:v>Soplador Profesional Bateria 24v</x:v>
      </x:c>
      <x:c r="C118" t="str">
        <x:v>Vehículos</x:v>
      </x:c>
      <x:c r="D118" s="42" t="n">
        <x:v>64900</x:v>
      </x:c>
      <x:c r="E118" s="42" t="n">
        <x:v>79900</x:v>
      </x:c>
      <x:c r="F118" s="46" t="n">
        <x:v>8</x:v>
      </x:c>
      <x:c r="G118" t="str">
        <x:v>Exclusivo</x:v>
      </x:c>
      <x:c r="H118" t="str">
        <x:v>No visible</x:v>
      </x:c>
      <x:c r="I118" t="str"/>
      <x:c r="J118" t="str">
        <x:v>2.20.23</x:v>
      </x:c>
    </x:row>
    <x:row r="119">
      <x:c r="A119" t="n">
        <x:v>118</x:v>
      </x:c>
      <x:c r="B119" t="str">
        <x:v>2 Mandolina Cortador Verduras Prensado</x:v>
      </x:c>
      <x:c r="C119" t="str">
        <x:v>Hogar</x:v>
      </x:c>
      <x:c r="D119" s="42" t="n">
        <x:v>64900</x:v>
      </x:c>
      <x:c r="E119" s="42" t="n">
        <x:v>79900</x:v>
      </x:c>
      <x:c r="F119" s="46" t="n">
        <x:v>48</x:v>
      </x:c>
      <x:c r="G119" t="str">
        <x:v>Exclusivo</x:v>
      </x:c>
      <x:c r="H119" t="str">
        <x:v>No visible</x:v>
      </x:c>
      <x:c r="I119" t="str"/>
      <x:c r="J119" t="str">
        <x:v>2.20.23</x:v>
      </x:c>
    </x:row>
    <x:row r="120">
      <x:c r="A120" t="n">
        <x:v>119</x:v>
      </x:c>
      <x:c r="B120" t="str">
        <x:v>Zapatero Cubierta 5 Niveles Con Perchero</x:v>
      </x:c>
      <x:c r="C120" t="str">
        <x:v>Hogar</x:v>
      </x:c>
      <x:c r="D120" s="42" t="n">
        <x:v>35900</x:v>
      </x:c>
      <x:c r="E120" s="42" t="n">
        <x:v>49900</x:v>
      </x:c>
      <x:c r="F120" s="46" t="n">
        <x:v>296</x:v>
      </x:c>
      <x:c r="G120" t="str">
        <x:v>Exclusivo</x:v>
      </x:c>
      <x:c r="H120" t="str">
        <x:v>No visible</x:v>
      </x:c>
      <x:c r="I120" t="str"/>
      <x:c r="J120" t="str">
        <x:v>2.20.23</x:v>
      </x:c>
    </x:row>
    <x:row r="121">
      <x:c r="A121" t="n">
        <x:v>120</x:v>
      </x:c>
      <x:c r="B121" t="str">
        <x:v>Ejercitador Suelo Pelvico Con Contacto</x:v>
      </x:c>
      <x:c r="C121" t="str">
        <x:v>Deportes</x:v>
      </x:c>
      <x:c r="D121" s="42" t="n">
        <x:v>19900</x:v>
      </x:c>
      <x:c r="E121" s="42" t="n">
        <x:v>29900</x:v>
      </x:c>
      <x:c r="F121" s="46" t="n">
        <x:v>22</x:v>
      </x:c>
      <x:c r="G121" t="str">
        <x:v>Exclusivo</x:v>
      </x:c>
      <x:c r="H121" t="str">
        <x:v>No visible</x:v>
      </x:c>
      <x:c r="I121" t="str"/>
      <x:c r="J121" t="str">
        <x:v>2.20.23</x:v>
      </x:c>
    </x:row>
    <x:row r="122">
      <x:c r="A122" t="n">
        <x:v>121</x:v>
      </x:c>
      <x:c r="B122" t="str">
        <x:v>Almohada 3d De Algodon Full Calidad</x:v>
      </x:c>
      <x:c r="C122" t="str">
        <x:v>Salud</x:v>
      </x:c>
      <x:c r="D122" s="42" t="n">
        <x:v>21900</x:v>
      </x:c>
      <x:c r="E122" s="42" t="n">
        <x:v>30900</x:v>
      </x:c>
      <x:c r="F122" s="46" t="n">
        <x:v>189</x:v>
      </x:c>
      <x:c r="G122" t="str">
        <x:v>Exclusivo</x:v>
      </x:c>
      <x:c r="H122" t="str">
        <x:v>No visible</x:v>
      </x:c>
      <x:c r="I122" t="str"/>
      <x:c r="J122" t="str">
        <x:v>2.21.16</x:v>
      </x:c>
    </x:row>
    <x:row r="123">
      <x:c r="A123" t="n">
        <x:v>122</x:v>
      </x:c>
      <x:c r="B123" t="str">
        <x:v>Exprimidor Electrico Recargable Zumo</x:v>
      </x:c>
      <x:c r="C123" t="str">
        <x:v>Cocina</x:v>
      </x:c>
      <x:c r="D123" s="42" t="n">
        <x:v>38900</x:v>
      </x:c>
      <x:c r="E123" s="42" t="n">
        <x:v>49900</x:v>
      </x:c>
      <x:c r="F123" s="46" t="n">
        <x:v>150</x:v>
      </x:c>
      <x:c r="G123" t="str">
        <x:v>Exclusivo</x:v>
      </x:c>
      <x:c r="H123" t="str">
        <x:v>No visible</x:v>
      </x:c>
      <x:c r="I123" t="str"/>
      <x:c r="J123" t="str">
        <x:v>2.21.16</x:v>
      </x:c>
    </x:row>
    <x:row r="124">
      <x:c r="A124" t="n">
        <x:v>123</x:v>
      </x:c>
      <x:c r="B124" t="str">
        <x:v>Intercomunicador Compatible Para Elmaz</x:v>
      </x:c>
      <x:c r="C124" t="str">
        <x:v>Herramientas</x:v>
      </x:c>
      <x:c r="D124" s="42" t="n">
        <x:v>52900</x:v>
      </x:c>
      <x:c r="E124" s="42" t="n">
        <x:v>65000</x:v>
      </x:c>
      <x:c r="F124" s="46" t="n">
        <x:v>600</x:v>
      </x:c>
      <x:c r="G124" t="str">
        <x:v>Exclusivo</x:v>
      </x:c>
      <x:c r="H124" t="str">
        <x:v>No visible</x:v>
      </x:c>
      <x:c r="I124" t="str">
        <x:v>Nombre visible parcial</x:v>
      </x:c>
      <x:c r="J124" t="str">
        <x:v>2.21.16</x:v>
      </x:c>
    </x:row>
    <x:row r="125">
      <x:c r="A125" t="n">
        <x:v>124</x:v>
      </x:c>
      <x:c r="B125" t="str">
        <x:v>Kit De Pestanas Magneticas Caja Rosa</x:v>
      </x:c>
      <x:c r="C125" t="str">
        <x:v>Belleza</x:v>
      </x:c>
      <x:c r="D125" s="42" t="n">
        <x:v>17900</x:v>
      </x:c>
      <x:c r="E125" s="42" t="n">
        <x:v>19400</x:v>
      </x:c>
      <x:c r="F125" s="46" t="n">
        <x:v>176</x:v>
      </x:c>
      <x:c r="G125" t="str">
        <x:v>Exclusivo</x:v>
      </x:c>
      <x:c r="H125" t="str">
        <x:v>No visible</x:v>
      </x:c>
      <x:c r="I125" t="str"/>
      <x:c r="J125" t="str">
        <x:v>2.21.16</x:v>
      </x:c>
    </x:row>
    <x:row r="126">
      <x:c r="A126" t="n">
        <x:v>125</x:v>
      </x:c>
      <x:c r="B126" t="str">
        <x:v>Masajeador Facial Reductor De Papada Eco</x:v>
      </x:c>
      <x:c r="C126" t="str">
        <x:v>Belleza</x:v>
      </x:c>
      <x:c r="D126" s="42" t="n">
        <x:v>19800</x:v>
      </x:c>
      <x:c r="E126" s="42" t="n">
        <x:v>29900</x:v>
      </x:c>
      <x:c r="F126" s="46" t="n">
        <x:v>278</x:v>
      </x:c>
      <x:c r="G126" t="str">
        <x:v>Exclusivo</x:v>
      </x:c>
      <x:c r="H126" t="str">
        <x:v>No visible</x:v>
      </x:c>
      <x:c r="I126" t="str"/>
      <x:c r="J126" t="str">
        <x:v>2.21.16</x:v>
      </x:c>
    </x:row>
    <x:row r="127">
      <x:c r="A127" t="n">
        <x:v>126</x:v>
      </x:c>
      <x:c r="B127" t="str">
        <x:v>Set Bolsas 7 Piezas 3 Piezas Ropa Inte</x:v>
      </x:c>
      <x:c r="C127" t="str">
        <x:v>Hogar</x:v>
      </x:c>
      <x:c r="D127" s="42" t="n">
        <x:v>29900</x:v>
      </x:c>
      <x:c r="E127" s="42" t="n">
        <x:v>49900</x:v>
      </x:c>
      <x:c r="F127" s="46" t="n">
        <x:v>47</x:v>
      </x:c>
      <x:c r="G127" t="str">
        <x:v>Exclusivo</x:v>
      </x:c>
      <x:c r="H127" t="str">
        <x:v>No visible</x:v>
      </x:c>
      <x:c r="I127" t="str">
        <x:v>Nombre visible parcial</x:v>
      </x:c>
      <x:c r="J127" t="str">
        <x:v>2.21.16</x:v>
      </x:c>
    </x:row>
    <x:row r="128">
      <x:c r="A128" t="n">
        <x:v>127</x:v>
      </x:c>
      <x:c r="B128" t="str">
        <x:v>Combo Candado Moto Alarma De Discomanil</x:v>
      </x:c>
      <x:c r="C128" t="str">
        <x:v>Tecnología</x:v>
      </x:c>
      <x:c r="D128" s="42" t="n">
        <x:v>59900</x:v>
      </x:c>
      <x:c r="E128" s="42" t="n">
        <x:v>69900</x:v>
      </x:c>
      <x:c r="F128" s="46" t="n">
        <x:v>103</x:v>
      </x:c>
      <x:c r="G128" t="str">
        <x:v>Exclusivo</x:v>
      </x:c>
      <x:c r="H128" t="str">
        <x:v>No visible</x:v>
      </x:c>
      <x:c r="I128" t="str"/>
      <x:c r="J128" t="str">
        <x:v>2.21.16</x:v>
      </x:c>
    </x:row>
    <x:row r="129">
      <x:c r="A129" t="n">
        <x:v>128</x:v>
      </x:c>
      <x:c r="B129" t="str">
        <x:v>Masajeador Facial Reductor Recargable</x:v>
      </x:c>
      <x:c r="C129" t="str">
        <x:v>Belleza</x:v>
      </x:c>
      <x:c r="D129" s="42" t="n">
        <x:v>24900</x:v>
      </x:c>
      <x:c r="E129" s="42" t="n">
        <x:v>40000</x:v>
      </x:c>
      <x:c r="F129" s="46" t="n">
        <x:v>185</x:v>
      </x:c>
      <x:c r="G129" t="str">
        <x:v>Exclusivo</x:v>
      </x:c>
      <x:c r="H129" t="str">
        <x:v>No visible</x:v>
      </x:c>
      <x:c r="I129" t="str"/>
      <x:c r="J129" t="str">
        <x:v>2.21.16</x:v>
      </x:c>
    </x:row>
    <x:row r="130">
      <x:c r="A130" t="n">
        <x:v>129</x:v>
      </x:c>
      <x:c r="B130" t="str">
        <x:v>Termo Trio Tipo Stanley</x:v>
      </x:c>
      <x:c r="C130" t="str">
        <x:v>Hogar</x:v>
      </x:c>
      <x:c r="D130" s="42" t="n">
        <x:v>21900</x:v>
      </x:c>
      <x:c r="E130" s="42" t="n">
        <x:v>31900</x:v>
      </x:c>
      <x:c r="F130" s="46" t="n">
        <x:v>300</x:v>
      </x:c>
      <x:c r="G130" t="str">
        <x:v>Exclusivo</x:v>
      </x:c>
      <x:c r="H130" t="str">
        <x:v>No visible</x:v>
      </x:c>
      <x:c r="I130" t="str"/>
      <x:c r="J130" t="str">
        <x:v>2.21.16</x:v>
      </x:c>
    </x:row>
    <x:row r="131">
      <x:c r="A131" t="n">
        <x:v>130</x:v>
      </x:c>
      <x:c r="B131" t="str">
        <x:v>Kit De Marcadores De 48 Rotuladores</x:v>
      </x:c>
      <x:c r="C131" t="str">
        <x:v>Bisutería</x:v>
      </x:c>
      <x:c r="D131" s="42" t="n">
        <x:v>24900</x:v>
      </x:c>
      <x:c r="E131" s="42" t="n">
        <x:v>29900</x:v>
      </x:c>
      <x:c r="F131" s="46" t="n">
        <x:v>187</x:v>
      </x:c>
      <x:c r="G131" t="str">
        <x:v>Exclusivo</x:v>
      </x:c>
      <x:c r="H131" t="str">
        <x:v>No visible</x:v>
      </x:c>
      <x:c r="I131" t="str"/>
      <x:c r="J131" t="str">
        <x:v>2.21.16</x:v>
      </x:c>
    </x:row>
    <x:row r="132">
      <x:c r="A132" t="n">
        <x:v>131</x:v>
      </x:c>
      <x:c r="B132" t="str">
        <x:v>Oximetro Para Dedo Con Pantalla Led</x:v>
      </x:c>
      <x:c r="C132" t="str">
        <x:v>Salud</x:v>
      </x:c>
      <x:c r="D132" s="42" t="n">
        <x:v>14900</x:v>
      </x:c>
      <x:c r="E132" s="42" t="n">
        <x:v>24900</x:v>
      </x:c>
      <x:c r="F132" s="46" t="n">
        <x:v>591</x:v>
      </x:c>
      <x:c r="G132" t="str">
        <x:v>Exclusivo</x:v>
      </x:c>
      <x:c r="H132" t="str">
        <x:v>No visible</x:v>
      </x:c>
      <x:c r="I132" t="str"/>
      <x:c r="J132" t="str">
        <x:v>2.21.16</x:v>
      </x:c>
    </x:row>
    <x:row r="133">
      <x:c r="A133" t="n">
        <x:v>132</x:v>
      </x:c>
      <x:c r="B133" t="str">
        <x:v>Batidora De Mano 7 Velocidades</x:v>
      </x:c>
      <x:c r="C133" t="str">
        <x:v>Tecnología</x:v>
      </x:c>
      <x:c r="D133" s="42" t="n">
        <x:v>25400</x:v>
      </x:c>
      <x:c r="E133" s="42" t="n">
        <x:v>35400</x:v>
      </x:c>
      <x:c r="F133" s="46" t="n">
        <x:v>42</x:v>
      </x:c>
      <x:c r="G133" t="str">
        <x:v>Exclusivo</x:v>
      </x:c>
      <x:c r="H133" t="str">
        <x:v>No visible</x:v>
      </x:c>
      <x:c r="I133" t="str"/>
      <x:c r="J133" t="str">
        <x:v>2.21.16</x:v>
      </x:c>
    </x:row>
    <x:row r="134">
      <x:c r="A134" t="n">
        <x:v>133</x:v>
      </x:c>
      <x:c r="B134" t="str">
        <x:v>Mochila Bandolera Antirrobo</x:v>
      </x:c>
      <x:c r="C134" t="str">
        <x:v>Tecnología</x:v>
      </x:c>
      <x:c r="D134" s="42" t="n">
        <x:v>24900</x:v>
      </x:c>
      <x:c r="E134" s="42" t="n">
        <x:v>50900</x:v>
      </x:c>
      <x:c r="F134" s="46" t="n">
        <x:v>188</x:v>
      </x:c>
      <x:c r="G134" t="str">
        <x:v>Exclusivo</x:v>
      </x:c>
      <x:c r="H134" t="str">
        <x:v>No visible</x:v>
      </x:c>
      <x:c r="I134" t="str"/>
      <x:c r="J134" t="str">
        <x:v>2.21.16</x:v>
      </x:c>
    </x:row>
    <x:row r="135">
      <x:c r="A135" t="n">
        <x:v>134</x:v>
      </x:c>
      <x:c r="B135" t="str">
        <x:v>Pelota Bola Inteligente Para Gatos Perro</x:v>
      </x:c>
      <x:c r="C135" t="str">
        <x:v>Mascotas</x:v>
      </x:c>
      <x:c r="D135" s="42" t="n">
        <x:v>13900</x:v>
      </x:c>
      <x:c r="E135" s="42" t="n">
        <x:v>27800</x:v>
      </x:c>
      <x:c r="F135" s="46" t="n">
        <x:v>72</x:v>
      </x:c>
      <x:c r="G135" t="str">
        <x:v>Exclusivo</x:v>
      </x:c>
      <x:c r="H135" t="str">
        <x:v>Variable</x:v>
      </x:c>
      <x:c r="I135" t="str"/>
      <x:c r="J135" t="str">
        <x:v>2.21.16</x:v>
      </x:c>
    </x:row>
    <x:row r="136">
      <x:c r="A136" t="n">
        <x:v>135</x:v>
      </x:c>
      <x:c r="B136" t="str">
        <x:v>Peluche Star Belly Dream Lites Luz Noct</x:v>
      </x:c>
      <x:c r="C136" t="str">
        <x:v>Juguetería</x:v>
      </x:c>
      <x:c r="D136" s="42" t="n">
        <x:v>39900</x:v>
      </x:c>
      <x:c r="E136" s="42" t="n">
        <x:v>74000</x:v>
      </x:c>
      <x:c r="F136" s="46" t="n">
        <x:v>200</x:v>
      </x:c>
      <x:c r="G136" t="str">
        <x:v>Exclusivo</x:v>
      </x:c>
      <x:c r="H136" t="str">
        <x:v>No visible</x:v>
      </x:c>
      <x:c r="I136" t="str">
        <x:v>Nombre visible parcial</x:v>
      </x:c>
      <x:c r="J136" t="str">
        <x:v>2.21.16</x:v>
      </x:c>
    </x:row>
    <x:row r="137">
      <x:c r="A137" t="n">
        <x:v>136</x:v>
      </x:c>
      <x:c r="B137" t="str">
        <x:v>Radiofrecuencia Electroporacion Mesotera</x:v>
      </x:c>
      <x:c r="C137" t="str">
        <x:v>Tecnología</x:v>
      </x:c>
      <x:c r="D137" s="42" t="n">
        <x:v>49900</x:v>
      </x:c>
      <x:c r="E137" s="42" t="n">
        <x:v>54900</x:v>
      </x:c>
      <x:c r="F137" s="46" t="n">
        <x:v>200</x:v>
      </x:c>
      <x:c r="G137" t="str">
        <x:v>Exclusivo</x:v>
      </x:c>
      <x:c r="H137" t="str">
        <x:v>No visible</x:v>
      </x:c>
      <x:c r="I137" t="str">
        <x:v>Nombre visible parcial</x:v>
      </x:c>
      <x:c r="J137" t="str">
        <x:v>2.21.16</x:v>
      </x:c>
    </x:row>
    <x:row r="138">
      <x:c r="A138" t="n">
        <x:v>137</x:v>
      </x:c>
      <x:c r="B138" t="str">
        <x:v>Organizador De Ropa Y Zapatos Armario</x:v>
      </x:c>
      <x:c r="C138" t="str">
        <x:v>Hogar</x:v>
      </x:c>
      <x:c r="D138" s="42" t="n">
        <x:v>59900</x:v>
      </x:c>
      <x:c r="E138" s="42" t="n">
        <x:v>69900</x:v>
      </x:c>
      <x:c r="F138" s="46" t="n">
        <x:v>191</x:v>
      </x:c>
      <x:c r="G138" t="str">
        <x:v>Exclusivo</x:v>
      </x:c>
      <x:c r="H138" t="str">
        <x:v>No visible</x:v>
      </x:c>
      <x:c r="I138" t="str"/>
      <x:c r="J138" t="str">
        <x:v>2.21.16</x:v>
      </x:c>
    </x:row>
    <x:row r="139">
      <x:c r="A139" t="n">
        <x:v>138</x:v>
      </x:c>
      <x:c r="B139" t="str">
        <x:v>Afeitadora Barbera Patillera Bolso</x:v>
      </x:c>
      <x:c r="C139" t="str">
        <x:v>Moda</x:v>
      </x:c>
      <x:c r="D139" s="42" t="n">
        <x:v>49900</x:v>
      </x:c>
      <x:c r="E139" s="42" t="n">
        <x:v>58900</x:v>
      </x:c>
      <x:c r="F139" s="46" t="n">
        <x:v>50</x:v>
      </x:c>
      <x:c r="G139" t="str">
        <x:v>Exclusivo</x:v>
      </x:c>
      <x:c r="H139" t="str">
        <x:v>Variable</x:v>
      </x:c>
      <x:c r="I139" t="str"/>
      <x:c r="J139" t="str">
        <x:v>2.21.16</x:v>
      </x:c>
    </x:row>
    <x:row r="140">
      <x:c r="A140" t="n">
        <x:v>139</x:v>
      </x:c>
      <x:c r="B140" t="str">
        <x:v>Batidora 2 En 1 Espumador 3 Veloc</x:v>
      </x:c>
      <x:c r="C140" t="str">
        <x:v>Cocina</x:v>
      </x:c>
      <x:c r="D140" s="42" t="n">
        <x:v>22400</x:v>
      </x:c>
      <x:c r="E140" s="42" t="n">
        <x:v>52400</x:v>
      </x:c>
      <x:c r="F140" s="46" t="n">
        <x:v>187</x:v>
      </x:c>
      <x:c r="G140" t="str">
        <x:v>Exclusivo</x:v>
      </x:c>
      <x:c r="H140" t="str">
        <x:v>No visible</x:v>
      </x:c>
      <x:c r="I140" t="str"/>
      <x:c r="J140" t="str">
        <x:v>2.21.16</x:v>
      </x:c>
    </x:row>
    <x:row r="141">
      <x:c r="A141" t="n">
        <x:v>140</x:v>
      </x:c>
      <x:c r="B141" t="str">
        <x:v>Cepillo Secador Para Cabello Aguacate</x:v>
      </x:c>
      <x:c r="C141" t="str">
        <x:v>Belleza</x:v>
      </x:c>
      <x:c r="D141" s="42" t="n">
        <x:v>24900</x:v>
      </x:c>
      <x:c r="E141" s="42" t="n">
        <x:v>29900</x:v>
      </x:c>
      <x:c r="F141" s="46" t="n">
        <x:v>257</x:v>
      </x:c>
      <x:c r="G141" t="str">
        <x:v>Exclusivo</x:v>
      </x:c>
      <x:c r="H141" t="str">
        <x:v>No visible</x:v>
      </x:c>
      <x:c r="I141" t="str"/>
      <x:c r="J141" t="str">
        <x:v>2.21.16</x:v>
      </x:c>
    </x:row>
    <x:row r="142">
      <x:c r="A142" t="n">
        <x:v>141</x:v>
      </x:c>
      <x:c r="B142" t="str">
        <x:v>Cinturon Colicos Masajeador Calor</x:v>
      </x:c>
      <x:c r="C142" t="str">
        <x:v>Salud</x:v>
      </x:c>
      <x:c r="D142" s="42" t="n">
        <x:v>19400</x:v>
      </x:c>
      <x:c r="E142" s="42" t="n">
        <x:v>52900</x:v>
      </x:c>
      <x:c r="F142" s="46" t="n">
        <x:v>167</x:v>
      </x:c>
      <x:c r="G142" t="str">
        <x:v>Exclusivo</x:v>
      </x:c>
      <x:c r="H142" t="str">
        <x:v>Variable</x:v>
      </x:c>
      <x:c r="I142" t="str"/>
      <x:c r="J142" t="str">
        <x:v>2.21.16</x:v>
      </x:c>
    </x:row>
    <x:row r="143">
      <x:c r="A143" t="n">
        <x:v>142</x:v>
      </x:c>
      <x:c r="B143" t="str">
        <x:v>Dispensador Crema Dental Soporte Esteril</x:v>
      </x:c>
      <x:c r="C143" t="str">
        <x:v>Hogar</x:v>
      </x:c>
      <x:c r="D143" s="42" t="n">
        <x:v>13400</x:v>
      </x:c>
      <x:c r="E143" s="42" t="n">
        <x:v>20900</x:v>
      </x:c>
      <x:c r="F143" s="46" t="n">
        <x:v>45</x:v>
      </x:c>
      <x:c r="G143" t="str">
        <x:v>Exclusivo</x:v>
      </x:c>
      <x:c r="H143" t="str">
        <x:v>No visible</x:v>
      </x:c>
      <x:c r="I143" t="str"/>
      <x:c r="J143" t="str">
        <x:v>2.21.16</x:v>
      </x:c>
    </x:row>
    <x:row r="144">
      <x:c r="A144" t="n">
        <x:v>143</x:v>
      </x:c>
      <x:c r="B144" t="str">
        <x:v>Lampara Uv Led Para Unas Secado Rapido</x:v>
      </x:c>
      <x:c r="C144" t="str">
        <x:v>Belleza</x:v>
      </x:c>
      <x:c r="D144" s="42" t="n">
        <x:v>69900</x:v>
      </x:c>
      <x:c r="E144" s="42" t="n">
        <x:v>79900</x:v>
      </x:c>
      <x:c r="F144" s="46" t="n">
        <x:v>150</x:v>
      </x:c>
      <x:c r="G144" t="str">
        <x:v>Exclusivo</x:v>
      </x:c>
      <x:c r="H144" t="str">
        <x:v>No visible</x:v>
      </x:c>
      <x:c r="I144" t="str"/>
      <x:c r="J144" t="str">
        <x:v>2.21.16</x:v>
      </x:c>
    </x:row>
    <x:row r="145">
      <x:c r="A145" t="n">
        <x:v>144</x:v>
      </x:c>
      <x:c r="B145" t="str">
        <x:v>4 Lamparas Panel Solar 30 Led</x:v>
      </x:c>
      <x:c r="C145" t="str">
        <x:v>Tecnología</x:v>
      </x:c>
      <x:c r="D145" s="42" t="n">
        <x:v>32900</x:v>
      </x:c>
      <x:c r="E145" s="42" t="n">
        <x:v>44900</x:v>
      </x:c>
      <x:c r="F145" s="46" t="n">
        <x:v>40</x:v>
      </x:c>
      <x:c r="G145" t="str">
        <x:v>Exclusivo</x:v>
      </x:c>
      <x:c r="H145" t="str">
        <x:v>No visible</x:v>
      </x:c>
      <x:c r="I145" t="str"/>
      <x:c r="J145" t="str">
        <x:v>2.21.16</x:v>
      </x:c>
    </x:row>
    <x:row r="146">
      <x:c r="A146" t="n">
        <x:v>145</x:v>
      </x:c>
      <x:c r="B146" t="str">
        <x:v>Perchero Zapatero Doble Alta Resistencia</x:v>
      </x:c>
      <x:c r="C146" t="str">
        <x:v>Hogar</x:v>
      </x:c>
      <x:c r="D146" s="42" t="n">
        <x:v>89900</x:v>
      </x:c>
      <x:c r="E146" s="42" t="n">
        <x:v>109900</x:v>
      </x:c>
      <x:c r="F146" s="46" t="n">
        <x:v>1</x:v>
      </x:c>
      <x:c r="G146" t="str">
        <x:v>Exclusivo</x:v>
      </x:c>
      <x:c r="H146" t="str">
        <x:v>No visible</x:v>
      </x:c>
      <x:c r="I146" t="str"/>
      <x:c r="J146" t="str">
        <x:v>2.21.16</x:v>
      </x:c>
    </x:row>
    <x:row r="147">
      <x:c r="A147" t="n">
        <x:v>146</x:v>
      </x:c>
      <x:c r="B147" t="str">
        <x:v>Secadora De Ropa Portatil</x:v>
      </x:c>
      <x:c r="C147" t="str">
        <x:v>Vaporizadores</x:v>
      </x:c>
      <x:c r="D147" s="42" t="n">
        <x:v>47900</x:v>
      </x:c>
      <x:c r="E147" s="42" t="n">
        <x:v>54900</x:v>
      </x:c>
      <x:c r="F147" s="46" t="n">
        <x:v>173</x:v>
      </x:c>
      <x:c r="G147" t="str">
        <x:v>Exclusivo</x:v>
      </x:c>
      <x:c r="H147" t="str">
        <x:v>No visible</x:v>
      </x:c>
      <x:c r="I147" t="str"/>
      <x:c r="J147" t="str">
        <x:v>2.21.16</x:v>
      </x:c>
    </x:row>
    <x:row r="148">
      <x:c r="A148" t="n">
        <x:v>147</x:v>
      </x:c>
      <x:c r="B148" t="str">
        <x:v>Lampara 30 Led Solar Con Sensor</x:v>
      </x:c>
      <x:c r="C148" t="str">
        <x:v>Tecnología</x:v>
      </x:c>
      <x:c r="D148" s="42" t="n">
        <x:v>13000</x:v>
      </x:c>
      <x:c r="E148" s="42" t="n">
        <x:v>19900</x:v>
      </x:c>
      <x:c r="F148" s="46" t="n">
        <x:v>20</x:v>
      </x:c>
      <x:c r="G148" t="str">
        <x:v>Exclusivo</x:v>
      </x:c>
      <x:c r="H148" t="str">
        <x:v>No visible</x:v>
      </x:c>
      <x:c r="I148" t="str"/>
      <x:c r="J148" t="str">
        <x:v>2.21.16</x:v>
      </x:c>
    </x:row>
    <x:row r="149">
      <x:c r="A149" t="n">
        <x:v>148</x:v>
      </x:c>
      <x:c r="B149" t="str">
        <x:v>Kit Ejercitador Hand Grip Mano Muñeca</x:v>
      </x:c>
      <x:c r="C149" t="str">
        <x:v>Deportes</x:v>
      </x:c>
      <x:c r="D149" s="42" t="n">
        <x:v>16900</x:v>
      </x:c>
      <x:c r="E149" s="42" t="n">
        <x:v>22900</x:v>
      </x:c>
      <x:c r="F149" s="46" t="n">
        <x:v>78</x:v>
      </x:c>
      <x:c r="G149" t="str">
        <x:v>Exclusivo</x:v>
      </x:c>
      <x:c r="H149" t="str">
        <x:v>No visible</x:v>
      </x:c>
      <x:c r="I149" t="str"/>
      <x:c r="J149" t="str">
        <x:v>2.21.16</x:v>
      </x:c>
    </x:row>
    <x:row r="150">
      <x:c r="A150" t="n">
        <x:v>149</x:v>
      </x:c>
      <x:c r="B150" t="str">
        <x:v>Camara Ip Forma De Robot Vision Nocturna</x:v>
      </x:c>
      <x:c r="C150" t="str">
        <x:v>Tecnología</x:v>
      </x:c>
      <x:c r="D150" s="42" t="n">
        <x:v>119900</x:v>
      </x:c>
      <x:c r="E150" s="42" t="n">
        <x:v>159900</x:v>
      </x:c>
      <x:c r="F150" s="46" t="n">
        <x:v>48</x:v>
      </x:c>
      <x:c r="G150" t="str">
        <x:v>Exclusivo</x:v>
      </x:c>
      <x:c r="H150" t="str">
        <x:v>No visible</x:v>
      </x:c>
      <x:c r="I150" t="str"/>
      <x:c r="J150" t="str">
        <x:v>2.21.16</x:v>
      </x:c>
    </x:row>
    <x:row r="151">
      <x:c r="A151" t="n">
        <x:v>150</x:v>
      </x:c>
      <x:c r="B151" t="str">
        <x:v>Turkesterone</x:v>
      </x:c>
      <x:c r="C151" t="str">
        <x:v>Salud</x:v>
      </x:c>
      <x:c r="D151" s="42" t="n">
        <x:v>27000</x:v>
      </x:c>
      <x:c r="E151" s="42" t="n">
        <x:v>49900</x:v>
      </x:c>
      <x:c r="F151" s="46" t="n">
        <x:v>25</x:v>
      </x:c>
      <x:c r="G151" t="str">
        <x:v>Exclusivo</x:v>
      </x:c>
      <x:c r="H151" t="str">
        <x:v>No visible</x:v>
      </x:c>
      <x:c r="I151" t="str"/>
      <x:c r="J151" t="str">
        <x:v>2.21.16</x:v>
      </x:c>
    </x:row>
  </x:sheetData>
  <x:pageMargins left="0.7" right="0.7" top="0.75" bottom="0.75" header="0.3" footer="0.3"/>
  <x:tableParts count="1">
    <x:tablePart xmlns:r="http://schemas.openxmlformats.org/officeDocument/2006/relationships" r:id="Rf05b6d2b34614f4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34" hidden="0" customWidth="1"/>
    <x:col min="5" max="5" width="24" hidden="0" customWidth="1"/>
    <x:col min="6" max="6" width="40" hidden="0" customWidth="1"/>
  </x:cols>
  <x:sheetData>
    <x:row r="1" ht="24" customHeight="1">
      <x:c r="A1" s="66" t="str">
        <x:v>Data faltante / no disponible en revisión manual</x:v>
      </x:c>
      <x:c r="B1" s="66"/>
      <x:c r="C1" s="66"/>
      <x:c r="D1" s="66"/>
      <x:c r="E1" s="66"/>
      <x:c r="F1" s="66"/>
      <x:c r="G1" s="59"/>
      <x:c r="H1" s="59"/>
      <x:c r="I1" s="59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  <x:c r="Z1" s="59"/>
      <x:c r="AA1" s="59"/>
      <x:c r="AB1" s="59"/>
      <x:c r="AC1" s="59"/>
      <x:c r="AD1" s="59"/>
      <x:c r="AE1" s="59"/>
      <x:c r="AF1" s="59"/>
    </x:row>
    <x:row r="2" ht="24" customHeight="1">
      <x:c r="A2" s="22" t="str">
        <x:v>Dato requerido</x:v>
      </x:c>
      <x:c r="B2" s="22" t="str">
        <x:v>Estado</x:v>
      </x:c>
      <x:c r="C2" s="22" t="str">
        <x:v>Nivel</x:v>
      </x:c>
      <x:c r="D2" s="22" t="str">
        <x:v>Por qué importa</x:v>
      </x:c>
      <x:c r="E2" s="22" t="str">
        <x:v>Fuente requerida</x:v>
      </x:c>
      <x:c r="F2" s="22" t="str">
        <x:v>Pregunta para BI/Data</x:v>
      </x:c>
    </x:row>
    <x:row r="3" ht="24" customHeight="1">
      <x:c r="A3" s="38" t="str">
        <x:v>Órdenes por producto</x:v>
      </x:c>
      <x:c r="B3" s="38" t="str">
        <x:v>No disponible</x:v>
      </x:c>
      <x:c r="C3" s="38" t="str">
        <x:v>Producto</x:v>
      </x:c>
      <x:c r="D3" s="38" t="str">
        <x:v>Saber qué productos venden dentro del catálogo</x:v>
      </x:c>
      <x:c r="E3" s="38" t="str">
        <x:v>BI / base de datos</x:v>
      </x:c>
      <x:c r="F3" s="38" t="str">
        <x:v>¿Cuántas órdenes tiene cada producto del supplier?</x:v>
      </x:c>
    </x:row>
    <x:row r="4" ht="24" customHeight="1">
      <x:c r="A4" s="38" t="str">
        <x:v>GMV por producto</x:v>
      </x:c>
      <x:c r="B4" s="38" t="str">
        <x:v>No disponible</x:v>
      </x:c>
      <x:c r="C4" s="38" t="str">
        <x:v>Producto</x:v>
      </x:c>
      <x:c r="D4" s="38" t="str">
        <x:v>Entender valor generado, no solo cantidad de órdenes</x:v>
      </x:c>
      <x:c r="E4" s="38" t="str">
        <x:v>BI / base de datos</x:v>
      </x:c>
      <x:c r="F4" s="38" t="str">
        <x:v>¿Cuál es el GMV histórico por producto?</x:v>
      </x:c>
    </x:row>
    <x:row r="5" ht="24" customHeight="1">
      <x:c r="A5" s="38" t="str">
        <x:v>Productos con 0 órdenes</x:v>
      </x:c>
      <x:c r="B5" s="38" t="str">
        <x:v>No disponible</x:v>
      </x:c>
      <x:c r="C5" s="38" t="str">
        <x:v>Producto</x:v>
      </x:c>
      <x:c r="D5" s="38" t="str">
        <x:v>Identificar catálogo cargado pero no productivo</x:v>
      </x:c>
      <x:c r="E5" s="38" t="str">
        <x:v>BI / base de datos</x:v>
      </x:c>
      <x:c r="F5" s="38" t="str">
        <x:v>¿Qué productos activos/visibles tienen 0 órdenes?</x:v>
      </x:c>
    </x:row>
    <x:row r="6" ht="24" customHeight="1">
      <x:c r="A6" s="38" t="str">
        <x:v>Fecha de creación del producto</x:v>
      </x:c>
      <x:c r="B6" s="38" t="str">
        <x:v>No disponible</x:v>
      </x:c>
      <x:c r="C6" s="38" t="str">
        <x:v>Producto</x:v>
      </x:c>
      <x:c r="D6" s="38" t="str">
        <x:v>Medir antigüedad y tiempo a primera orden</x:v>
      </x:c>
      <x:c r="E6" s="38" t="str">
        <x:v>BI / base de datos</x:v>
      </x:c>
      <x:c r="F6" s="38" t="str">
        <x:v>¿Cuándo se creó cada producto?</x:v>
      </x:c>
    </x:row>
    <x:row r="7" ht="24" customHeight="1">
      <x:c r="A7" s="38" t="str">
        <x:v>Fecha de primera orden</x:v>
      </x:c>
      <x:c r="B7" s="38" t="str">
        <x:v>No disponible</x:v>
      </x:c>
      <x:c r="C7" s="38" t="str">
        <x:v>Producto</x:v>
      </x:c>
      <x:c r="D7" s="38" t="str">
        <x:v>Calcular activación por producto</x:v>
      </x:c>
      <x:c r="E7" s="38" t="str">
        <x:v>BI / base de datos</x:v>
      </x:c>
      <x:c r="F7" s="38" t="str">
        <x:v>¿Cuándo ocurrió la primera orden por producto?</x:v>
      </x:c>
    </x:row>
    <x:row r="8" ht="24" customHeight="1">
      <x:c r="A8" s="38" t="str">
        <x:v>Fecha de última actualización</x:v>
      </x:c>
      <x:c r="B8" s="38" t="str">
        <x:v>No disponible</x:v>
      </x:c>
      <x:c r="C8" s="38" t="str">
        <x:v>Producto</x:v>
      </x:c>
      <x:c r="D8" s="38" t="str">
        <x:v>Saber si el catálogo está vivo o abandonado</x:v>
      </x:c>
      <x:c r="E8" s="38" t="str">
        <x:v>BI / base de datos</x:v>
      </x:c>
      <x:c r="F8" s="38" t="str">
        <x:v>¿Cuándo se actualizó por última vez cada producto?</x:v>
      </x:c>
    </x:row>
    <x:row r="9" ht="24" customHeight="1">
      <x:c r="A9" s="38" t="str">
        <x:v>Stock histórico</x:v>
      </x:c>
      <x:c r="B9" s="38" t="str">
        <x:v>No disponible</x:v>
      </x:c>
      <x:c r="C9" s="38" t="str">
        <x:v>Producto</x:v>
      </x:c>
      <x:c r="D9" s="38" t="str">
        <x:v>Identificar quiebres de stock</x:v>
      </x:c>
      <x:c r="E9" s="38" t="str">
        <x:v>Inventario / Data</x:v>
      </x:c>
      <x:c r="F9" s="38" t="str">
        <x:v>¿Cuál ha sido el historial de stock por producto?</x:v>
      </x:c>
    </x:row>
    <x:row r="10" ht="24" customHeight="1">
      <x:c r="A10" s="38" t="str">
        <x:v>Rotación de inventario</x:v>
      </x:c>
      <x:c r="B10" s="38" t="str">
        <x:v>No disponible</x:v>
      </x:c>
      <x:c r="C10" s="38" t="str">
        <x:v>Producto</x:v>
      </x:c>
      <x:c r="D10" s="38" t="str">
        <x:v>Entender velocidad de salida del producto</x:v>
      </x:c>
      <x:c r="E10" s="38" t="str">
        <x:v>Inventario + órdenes</x:v>
      </x:c>
      <x:c r="F10" s="38" t="str">
        <x:v>¿Cuál es la rotación por SKU?</x:v>
      </x:c>
    </x:row>
    <x:row r="11" ht="24" customHeight="1">
      <x:c r="A11" s="38" t="str">
        <x:v>Cancelaciones por producto</x:v>
      </x:c>
      <x:c r="B11" s="38" t="str">
        <x:v>No disponible</x:v>
      </x:c>
      <x:c r="C11" s="38" t="str">
        <x:v>Producto</x:v>
      </x:c>
      <x:c r="D11" s="38" t="str">
        <x:v>Detectar problemas operativos o de cumplimiento</x:v>
      </x:c>
      <x:c r="E11" s="38" t="str">
        <x:v>Operaciones / BI</x:v>
      </x:c>
      <x:c r="F11" s="38" t="str">
        <x:v>¿Qué tasa de cancelación tiene cada producto?</x:v>
      </x:c>
    </x:row>
    <x:row r="12" ht="24" customHeight="1">
      <x:c r="A12" s="38" t="str">
        <x:v>Devoluciones / reclamos por producto</x:v>
      </x:c>
      <x:c r="B12" s="38" t="str">
        <x:v>No disponible</x:v>
      </x:c>
      <x:c r="C12" s="38" t="str">
        <x:v>Producto</x:v>
      </x:c>
      <x:c r="D12" s="38" t="str">
        <x:v>Medir riesgo y satisfacción</x:v>
      </x:c>
      <x:c r="E12" s="38" t="str">
        <x:v>Postventa / BI</x:v>
      </x:c>
      <x:c r="F12" s="38" t="str">
        <x:v>¿Qué productos concentran devoluciones o reclamos?</x:v>
      </x:c>
    </x:row>
    <x:row r="13" ht="24" customHeight="1">
      <x:c r="A13" s="38" t="str">
        <x:v>Tiempo real de despacho por producto</x:v>
      </x:c>
      <x:c r="B13" s="38" t="str">
        <x:v>No disponible</x:v>
      </x:c>
      <x:c r="C13" s="38" t="str">
        <x:v>Producto</x:v>
      </x:c>
      <x:c r="D13" s="38" t="str">
        <x:v>El perfil muestra despacho general, no por producto</x:v>
      </x:c>
      <x:c r="E13" s="38" t="str">
        <x:v>Operaciones / BI</x:v>
      </x:c>
      <x:c r="F13" s="38" t="str">
        <x:v>¿Cuál es el tiempo de despacho por producto?</x:v>
      </x:c>
    </x:row>
    <x:row r="14" ht="24" customHeight="1">
      <x:c r="A14" s="38" t="str">
        <x:v>Productos privados totales</x:v>
      </x:c>
      <x:c r="B14" s="38" t="str">
        <x:v>No disponible</x:v>
      </x:c>
      <x:c r="C14" s="38" t="str">
        <x:v>Supplier</x:v>
      </x:c>
      <x:c r="D14" s="38" t="str">
        <x:v>No se puede ver catálogo privado completo</x:v>
      </x:c>
      <x:c r="E14" s="38" t="str">
        <x:v>Backend / Data</x:v>
      </x:c>
      <x:c r="F14" s="38" t="str">
        <x:v>¿Cuántos productos privados tiene el supplier?</x:v>
      </x:c>
    </x:row>
    <x:row r="15" ht="24" customHeight="1">
      <x:c r="A15" s="38" t="str">
        <x:v>Motivo de producto privado</x:v>
      </x:c>
      <x:c r="B15" s="38" t="str">
        <x:v>No disponible</x:v>
      </x:c>
      <x:c r="C15" s="38" t="str">
        <x:v>Producto</x:v>
      </x:c>
      <x:c r="D15" s="38" t="str">
        <x:v>Entender si es estrategia, exclusividad o configuración</x:v>
      </x:c>
      <x:c r="E15" s="38" t="str">
        <x:v>Producto / Supplier Success</x:v>
      </x:c>
      <x:c r="F15" s="38" t="str">
        <x:v>¿Por qué cada producto está privado?</x:v>
      </x:c>
    </x:row>
    <x:row r="16" ht="24" customHeight="1">
      <x:c r="A16" s="38" t="str">
        <x:v>Visitas / clics al producto</x:v>
      </x:c>
      <x:c r="B16" s="38" t="str">
        <x:v>No disponible</x:v>
      </x:c>
      <x:c r="C16" s="38" t="str">
        <x:v>Producto</x:v>
      </x:c>
      <x:c r="D16" s="38" t="str">
        <x:v>Medir interés aunque no haya venta</x:v>
      </x:c>
      <x:c r="E16" s="38" t="str">
        <x:v>Eventos / Analytics</x:v>
      </x:c>
      <x:c r="F16" s="38" t="str">
        <x:v>¿Cuántas vistas/clics recibe cada producto?</x:v>
      </x:c>
    </x:row>
    <x:row r="17" ht="24" customHeight="1">
      <x:c r="A17" s="38" t="str">
        <x:v>Favoritos / guardados</x:v>
      </x:c>
      <x:c r="B17" s="38" t="str">
        <x:v>No disponible</x:v>
      </x:c>
      <x:c r="C17" s="38" t="str">
        <x:v>Producto</x:v>
      </x:c>
      <x:c r="D17" s="38" t="str">
        <x:v>Señal temprana de interés de dropshippers</x:v>
      </x:c>
      <x:c r="E17" s="38" t="str">
        <x:v>Eventos / Analytics</x:v>
      </x:c>
      <x:c r="F17" s="38" t="str">
        <x:v>¿Cuántos dropshippers guardan cada producto?</x:v>
      </x:c>
    </x:row>
    <x:row r="18" ht="24" customHeight="1">
      <x:c r="A18" s="38" t="str">
        <x:v>Uso de botón enviar al cliente</x:v>
      </x:c>
      <x:c r="B18" s="38" t="str">
        <x:v>No disponible</x:v>
      </x:c>
      <x:c r="C18" s="38" t="str">
        <x:v>Producto</x:v>
      </x:c>
      <x:c r="D18" s="38" t="str">
        <x:v>Medir intención comercial</x:v>
      </x:c>
      <x:c r="E18" s="38" t="str">
        <x:v>Eventos / Analytics</x:v>
      </x:c>
      <x:c r="F18" s="38" t="str">
        <x:v>¿Cuántas veces se envía cada producto al cliente?</x:v>
      </x:c>
    </x:row>
    <x:row r="19" ht="24" customHeight="1">
      <x:c r="A19" s="38" t="str">
        <x:v>Muestras solicitadas</x:v>
      </x:c>
      <x:c r="B19" s="38" t="str">
        <x:v>No disponible</x:v>
      </x:c>
      <x:c r="C19" s="38" t="str">
        <x:v>Producto</x:v>
      </x:c>
      <x:c r="D19" s="38" t="str">
        <x:v>Señal de interés de dropshippers</x:v>
      </x:c>
      <x:c r="E19" s="38" t="str">
        <x:v>Eventos / Analytics</x:v>
      </x:c>
      <x:c r="F19" s="38" t="str">
        <x:v>¿Cuántas muestras se solicitan por producto?</x:v>
      </x:c>
    </x:row>
    <x:row r="20" ht="24" customHeight="1">
      <x:c r="A20" s="38" t="str">
        <x:v>Categoría real / subcategoría</x:v>
      </x:c>
      <x:c r="B20" s="38" t="str">
        <x:v>Parcial</x:v>
      </x:c>
      <x:c r="C20" s="38" t="str">
        <x:v>Producto</x:v>
      </x:c>
      <x:c r="D20" s="38" t="str">
        <x:v>La categoría visible puede ser insuficiente</x:v>
      </x:c>
      <x:c r="E20" s="38" t="str">
        <x:v>Catálogo / Data</x:v>
      </x:c>
      <x:c r="F20" s="38" t="str">
        <x:v>¿Cuál es la taxonomía completa de cada producto?</x:v>
      </x:c>
    </x:row>
    <x:row r="21" ht="24" customHeight="1">
      <x:c r="A21" s="38" t="str">
        <x:v>Marca estructurada</x:v>
      </x:c>
      <x:c r="B21" s="38" t="str">
        <x:v>No disponible</x:v>
      </x:c>
      <x:c r="C21" s="38" t="str">
        <x:v>Producto</x:v>
      </x:c>
      <x:c r="D21" s="38" t="str">
        <x:v>Permite análisis por marca</x:v>
      </x:c>
      <x:c r="E21" s="38" t="str">
        <x:v>Catálogo / Data</x:v>
      </x:c>
      <x:c r="F21" s="38" t="str">
        <x:v>¿Existe campo marca estructurado por producto?</x:v>
      </x:c>
    </x:row>
    <x:row r="22" ht="24" customHeight="1">
      <x:c r="A22" s="38" t="str">
        <x:v>Productos duplicados</x:v>
      </x:c>
      <x:c r="B22" s="38" t="str">
        <x:v>No disponible</x:v>
      </x:c>
      <x:c r="C22" s="38" t="str">
        <x:v>Producto</x:v>
      </x:c>
      <x:c r="D22" s="38" t="str">
        <x:v>Detectar ruido de catálogo</x:v>
      </x:c>
      <x:c r="E22" s="38" t="str">
        <x:v>Data / Matching</x:v>
      </x:c>
      <x:c r="F22" s="38" t="str">
        <x:v>¿Hay duplicados por nombre, imagen o SKU?</x:v>
      </x:c>
    </x:row>
    <x:row r="23" ht="24" customHeight="1"/>
    <x:row r="24" ht="24" customHeight="1"/>
    <x:row r="25" ht="24" customHeight="1"/>
    <x:row r="26" ht="24" customHeight="1"/>
    <x:row r="27" ht="24" customHeight="1"/>
    <x:row r="28" ht="24" customHeight="1"/>
    <x:row r="29" ht="24" customHeight="1"/>
    <x:row r="30" ht="24" customHeight="1"/>
    <x:row r="31" ht="24" customHeight="1"/>
    <x:row r="32" ht="24" customHeight="1"/>
    <x:row r="33" ht="24" customHeight="1"/>
    <x:row r="34" ht="24" customHeight="1"/>
    <x:row r="35" ht="24" customHeight="1"/>
    <x:row r="36" ht="24" customHeight="1"/>
    <x:row r="37" ht="24" customHeight="1"/>
    <x:row r="38" ht="24" customHeight="1"/>
    <x:row r="39" ht="24" customHeight="1"/>
    <x:row r="40" ht="24" customHeight="1"/>
    <x:row r="41" ht="24" customHeight="1"/>
    <x:row r="42" ht="24" customHeight="1"/>
    <x:row r="43" ht="24" customHeight="1"/>
    <x:row r="44" ht="24" customHeight="1"/>
    <x:row r="45" ht="24" customHeight="1"/>
    <x:row r="46" ht="24" customHeight="1"/>
    <x:row r="47" ht="24" customHeight="1"/>
    <x:row r="48" ht="24" customHeight="1"/>
    <x:row r="49" ht="24" customHeight="1"/>
    <x:row r="50" ht="24" customHeight="1"/>
    <x:row r="51" ht="24" customHeight="1"/>
    <x:row r="52" ht="24" customHeight="1"/>
    <x:row r="53" ht="24" customHeight="1"/>
    <x:row r="54" ht="24" customHeight="1"/>
    <x:row r="55" ht="24" customHeight="1"/>
    <x:row r="56" ht="24" customHeight="1"/>
    <x:row r="57" ht="24" customHeight="1"/>
    <x:row r="58" ht="24" customHeight="1"/>
    <x:row r="59" ht="24" customHeight="1"/>
    <x:row r="60" ht="24" customHeight="1"/>
    <x:row r="61" ht="24" customHeight="1"/>
    <x:row r="62" ht="24" customHeight="1"/>
    <x:row r="63" ht="24" customHeight="1"/>
    <x:row r="64" ht="24" customHeight="1"/>
    <x:row r="65" ht="24" customHeight="1"/>
    <x:row r="66" ht="24" customHeight="1"/>
    <x:row r="67" ht="24" customHeight="1"/>
    <x:row r="68" ht="24" customHeight="1"/>
    <x:row r="69" ht="24" customHeight="1"/>
    <x:row r="70" ht="24" customHeight="1"/>
    <x:row r="71" ht="24" customHeight="1"/>
    <x:row r="72" ht="24" customHeight="1"/>
    <x:row r="73" ht="24" customHeight="1"/>
    <x:row r="74" ht="24" customHeight="1"/>
    <x:row r="75" ht="24" customHeight="1"/>
    <x:row r="76" ht="24" customHeight="1"/>
    <x:row r="77" ht="24" customHeight="1"/>
    <x:row r="78" ht="24" customHeight="1"/>
    <x:row r="79" ht="24" customHeight="1"/>
    <x:row r="80" ht="24" customHeight="1"/>
    <x:row r="81" ht="24" customHeight="1"/>
    <x:row r="82" ht="24" customHeight="1"/>
    <x:row r="83" ht="24" customHeight="1"/>
    <x:row r="84" ht="24" customHeight="1"/>
    <x:row r="85" ht="24" customHeight="1"/>
    <x:row r="86" ht="24" customHeight="1"/>
    <x:row r="87" ht="24" customHeight="1"/>
    <x:row r="88" ht="24" customHeight="1"/>
    <x:row r="89" ht="24" customHeight="1"/>
    <x:row r="90" ht="24" customHeight="1"/>
    <x:row r="91" ht="24" customHeight="1"/>
    <x:row r="92" ht="24" customHeight="1"/>
    <x:row r="93" ht="24" customHeight="1"/>
    <x:row r="94" ht="24" customHeight="1"/>
    <x:row r="95" ht="24" customHeight="1"/>
    <x:row r="96" ht="24" customHeight="1"/>
    <x:row r="97" ht="24" customHeight="1"/>
    <x:row r="98" ht="24" customHeight="1"/>
    <x:row r="99" ht="24" customHeight="1"/>
    <x:row r="100" ht="24" customHeight="1"/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9c4490bc03148e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36" hidden="0" customWidth="1"/>
    <x:col min="4" max="4" width="24" hidden="0" customWidth="1"/>
  </x:cols>
  <x:sheetData>
    <x:row r="1" ht="24" customHeight="1">
      <x:c r="A1" s="66" t="str">
        <x:v>Diccionario de campos para captura individual de supplier</x:v>
      </x:c>
      <x:c r="B1" s="66"/>
      <x:c r="C1" s="66"/>
      <x:c r="D1" s="66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  <x:c r="Z1" s="59"/>
      <x:c r="AA1" s="59"/>
      <x:c r="AB1" s="59"/>
      <x:c r="AC1" s="59"/>
      <x:c r="AD1" s="59"/>
      <x:c r="AE1" s="59"/>
      <x:c r="AF1" s="59"/>
    </x:row>
    <x:row r="2" ht="24" customHeight="1"/>
    <x:row r="3" ht="24" customHeight="1">
      <x:c r="A3" s="22" t="str">
        <x:v>Campo</x:v>
      </x:c>
      <x:c r="B3" s="22" t="str">
        <x:v>Definición</x:v>
      </x:c>
      <x:c r="C3" s="22" t="str">
        <x:v>Valores esperados</x:v>
      </x:c>
      <x:c r="D3" s="22" t="str">
        <x:v>Fuente</x:v>
      </x:c>
    </x:row>
    <x:row r="4" ht="24" customHeight="1">
      <x:c r="A4" s="38" t="str">
        <x:v>Productos visibles en perfil</x:v>
      </x:c>
      <x:c r="B4" s="38" t="str">
        <x:v>Cantidad de productos mostrada en el perfil del supplier</x:v>
      </x:c>
      <x:c r="C4" s="38" t="str">
        <x:v>Número</x:v>
      </x:c>
      <x:c r="D4" s="38" t="str">
        <x:v>Perfil supplier</x:v>
      </x:c>
    </x:row>
    <x:row r="5" ht="24" customHeight="1">
      <x:c r="A5" s="38" t="str">
        <x:v>Productos base inicial</x:v>
      </x:c>
      <x:c r="B5" s="38" t="str">
        <x:v>Cantidad enviada en la base inicial de proveedores</x:v>
      </x:c>
      <x:c r="C5" s="38" t="str">
        <x:v>Número</x:v>
      </x:c>
      <x:c r="D5" s="38" t="str">
        <x:v>Base manual</x:v>
      </x:c>
    </x:row>
    <x:row r="6" ht="24" customHeight="1">
      <x:c r="A6" s="38" t="str">
        <x:v>Diferencia perfil vs base</x:v>
      </x:c>
      <x:c r="B6" s="38" t="str">
        <x:v>Productos visibles en perfil menos productos base inicial</x:v>
      </x:c>
      <x:c r="C6" s="38" t="str">
        <x:v>Número / fórmula</x:v>
      </x:c>
      <x:c r="D6" s="38" t="str">
        <x:v>Calculado</x:v>
      </x:c>
    </x:row>
    <x:row r="7" ht="24" customHeight="1">
      <x:c r="A7" s="38" t="str">
        <x:v>Stock público</x:v>
      </x:c>
      <x:c r="B7" s="38" t="str">
        <x:v>Stock visible en el detalle del producto</x:v>
      </x:c>
      <x:c r="C7" s="38" t="str">
        <x:v>Número</x:v>
      </x:c>
      <x:c r="D7" s="38" t="str">
        <x:v>Detalle producto</x:v>
      </x:c>
    </x:row>
    <x:row r="8" ht="24" customHeight="1">
      <x:c r="A8" s="38" t="str">
        <x:v>Stock privado</x:v>
      </x:c>
      <x:c r="B8" s="38" t="str">
        <x:v>Stock privado visible en detalle</x:v>
      </x:c>
      <x:c r="C8" s="38" t="str">
        <x:v>Número</x:v>
      </x:c>
      <x:c r="D8" s="38" t="str">
        <x:v>Detalle producto</x:v>
      </x:c>
    </x:row>
    <x:row r="9" ht="24" customHeight="1">
      <x:c r="A9" s="38" t="str">
        <x:v>Cantidad imágenes visibles</x:v>
      </x:c>
      <x:c r="B9" s="38" t="str">
        <x:v>Número de miniaturas visibles en el detalle</x:v>
      </x:c>
      <x:c r="C9" s="38" t="str">
        <x:v>Número</x:v>
      </x:c>
      <x:c r="D9" s="38" t="str">
        <x:v>Detalle producto</x:v>
      </x:c>
    </x:row>
    <x:row r="10" ht="24" customHeight="1">
      <x:c r="A10" s="38" t="str">
        <x:v>Tiene descripción</x:v>
      </x:c>
      <x:c r="B10" s="38" t="str">
        <x:v>Si el producto muestra texto en la pestaña Detalles</x:v>
      </x:c>
      <x:c r="C10" s="38" t="str">
        <x:v>Sí / No / No visible / Parcial</x:v>
      </x:c>
      <x:c r="D10" s="38" t="str">
        <x:v>Detalle producto</x:v>
      </x:c>
    </x:row>
    <x:row r="11" ht="24" customHeight="1">
      <x:c r="A11" s="38" t="str">
        <x:v>Descripción excede screenshot</x:v>
      </x:c>
      <x:c r="B11" s="38" t="str">
        <x:v>Si el contenido continúa más allá del pantallazo</x:v>
      </x:c>
      <x:c r="C11" s="38" t="str">
        <x:v>Sí / No</x:v>
      </x:c>
      <x:c r="D11" s="38" t="str">
        <x:v>Detalle producto</x:v>
      </x:c>
    </x:row>
    <x:row r="12" ht="24" customHeight="1">
      <x:c r="A12" s="38" t="str">
        <x:v>Tipo descripción visible</x:v>
      </x:c>
      <x:c r="B12" s="38" t="str">
        <x:v>Clasificación del texto visible sin emitir juicio</x:v>
      </x:c>
      <x:c r="C12" s="38" t="str">
        <x:v>Sin descripción / Genérica proveedor / Específica producto / Garantías / Mixta / No visible</x:v>
      </x:c>
      <x:c r="D12" s="38" t="str">
        <x:v>Detalle producto</x:v>
      </x:c>
    </x:row>
    <x:row r="13" ht="24" customHeight="1">
      <x:c r="A13" s="38" t="str">
        <x:v>Texto genérico repetido</x:v>
      </x:c>
      <x:c r="B13" s="38" t="str">
        <x:v>Si aparece texto estándar reutilizado del proveedor</x:v>
      </x:c>
      <x:c r="C13" s="38" t="str">
        <x:v>Sí / No / No visible</x:v>
      </x:c>
      <x:c r="D13" s="38" t="str">
        <x:v>Detalle producto</x:v>
      </x:c>
    </x:row>
    <x:row r="14" ht="24" customHeight="1">
      <x:c r="A14" s="38" t="str">
        <x:v>Observación cruda</x:v>
      </x:c>
      <x:c r="B14" s="38" t="str">
        <x:v>Notas descriptivas sin análisis ni conclusión</x:v>
      </x:c>
      <x:c r="C14" s="38" t="str">
        <x:v>Texto</x:v>
      </x:c>
      <x:c r="D14" s="38" t="str">
        <x:v>Captura manual</x:v>
      </x:c>
    </x:row>
    <x:row r="15" ht="24" customHeight="1">
      <x:c r="A15" s="38" t="str">
        <x:v>Lectura PM</x:v>
      </x:c>
      <x:c r="B15" s="38" t="str">
        <x:v>Interpretación posterior del proveedor con base en la data</x:v>
      </x:c>
      <x:c r="C15" s="38" t="str">
        <x:v>Texto</x:v>
      </x:c>
      <x:c r="D15" s="38" t="str">
        <x:v>Análisis individual</x:v>
      </x:c>
    </x:row>
    <x:row r="16" ht="24" customHeight="1"/>
    <x:row r="17" ht="24" customHeight="1"/>
    <x:row r="18" ht="24" customHeight="1"/>
    <x:row r="19" ht="24" customHeight="1"/>
    <x:row r="20" ht="24" customHeight="1"/>
    <x:row r="21" ht="24" customHeight="1"/>
    <x:row r="22" ht="24" customHeight="1"/>
    <x:row r="23" ht="24" customHeight="1"/>
    <x:row r="24" ht="24" customHeight="1"/>
    <x:row r="25" ht="24" customHeight="1"/>
    <x:row r="26" ht="24" customHeight="1"/>
    <x:row r="27" ht="24" customHeight="1"/>
    <x:row r="28" ht="24" customHeight="1"/>
    <x:row r="29" ht="24" customHeight="1"/>
    <x:row r="30" ht="24" customHeight="1"/>
    <x:row r="31" ht="24" customHeight="1"/>
    <x:row r="32" ht="24" customHeight="1"/>
    <x:row r="33" ht="24" customHeight="1"/>
    <x:row r="34" ht="24" customHeight="1"/>
    <x:row r="35" ht="24" customHeight="1"/>
    <x:row r="36" ht="24" customHeight="1"/>
    <x:row r="37" ht="24" customHeight="1"/>
    <x:row r="38" ht="24" customHeight="1"/>
    <x:row r="39" ht="24" customHeight="1"/>
    <x:row r="40" ht="24" customHeight="1"/>
    <x:row r="41" ht="24" customHeight="1"/>
    <x:row r="42" ht="24" customHeight="1"/>
    <x:row r="43" ht="24" customHeight="1"/>
    <x:row r="44" ht="24" customHeight="1"/>
    <x:row r="45" ht="24" customHeight="1"/>
    <x:row r="46" ht="24" customHeight="1"/>
    <x:row r="47" ht="24" customHeight="1"/>
    <x:row r="48" ht="24" customHeight="1"/>
    <x:row r="49" ht="24" customHeight="1"/>
    <x:row r="50" ht="24" customHeight="1"/>
    <x:row r="51" ht="24" customHeight="1"/>
    <x:row r="52" ht="24" customHeight="1"/>
    <x:row r="53" ht="24" customHeight="1"/>
    <x:row r="54" ht="24" customHeight="1"/>
    <x:row r="55" ht="24" customHeight="1"/>
    <x:row r="56" ht="24" customHeight="1"/>
    <x:row r="57" ht="24" customHeight="1"/>
    <x:row r="58" ht="24" customHeight="1"/>
    <x:row r="59" ht="24" customHeight="1"/>
    <x:row r="60" ht="24" customHeight="1"/>
    <x:row r="61" ht="24" customHeight="1"/>
    <x:row r="62" ht="24" customHeight="1"/>
    <x:row r="63" ht="24" customHeight="1"/>
    <x:row r="64" ht="24" customHeight="1"/>
    <x:row r="65" ht="24" customHeight="1"/>
    <x:row r="66" ht="24" customHeight="1"/>
    <x:row r="67" ht="24" customHeight="1"/>
    <x:row r="68" ht="24" customHeight="1"/>
    <x:row r="69" ht="24" customHeight="1"/>
    <x:row r="70" ht="24" customHeight="1"/>
    <x:row r="71" ht="24" customHeight="1"/>
    <x:row r="72" ht="24" customHeight="1"/>
    <x:row r="73" ht="24" customHeight="1"/>
    <x:row r="74" ht="24" customHeight="1"/>
    <x:row r="75" ht="24" customHeight="1"/>
    <x:row r="76" ht="24" customHeight="1"/>
    <x:row r="77" ht="24" customHeight="1"/>
    <x:row r="78" ht="24" customHeight="1"/>
    <x:row r="79" ht="24" customHeight="1"/>
    <x:row r="80" ht="24" customHeight="1"/>
    <x:row r="81" ht="24" customHeight="1"/>
    <x:row r="82" ht="24" customHeight="1"/>
    <x:row r="83" ht="24" customHeight="1"/>
    <x:row r="84" ht="24" customHeight="1"/>
    <x:row r="85" ht="24" customHeight="1"/>
    <x:row r="86" ht="24" customHeight="1"/>
    <x:row r="87" ht="24" customHeight="1"/>
    <x:row r="88" ht="24" customHeight="1"/>
    <x:row r="89" ht="24" customHeight="1"/>
    <x:row r="90" ht="24" customHeight="1"/>
    <x:row r="91" ht="24" customHeight="1"/>
    <x:row r="92" ht="24" customHeight="1"/>
    <x:row r="93" ht="24" customHeight="1"/>
    <x:row r="94" ht="24" customHeight="1"/>
    <x:row r="95" ht="24" customHeight="1"/>
    <x:row r="96" ht="24" customHeight="1"/>
    <x:row r="97" ht="24" customHeight="1"/>
    <x:row r="98" ht="24" customHeight="1"/>
    <x:row r="99" ht="24" customHeight="1"/>
    <x:row r="100" ht="24" customHeight="1"/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f2f773816cc4ad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73" t="str">
        <x:v>Resumen muestra catálogo visible · TIENDA OSHOP</x:v>
      </x:c>
    </x:row>
    <x:row r="3">
      <x:c r="A3" s="70" t="str">
        <x:v>Métrica</x:v>
      </x:c>
      <x:c r="B3" s="70" t="str">
        <x:v>Valor</x:v>
      </x:c>
      <x:c r="D3" s="70" t="str">
        <x:v>Categoría visible</x:v>
      </x:c>
      <x:c r="E3" s="70" t="str">
        <x:v>Cantidad en muestra</x:v>
      </x:c>
      <x:c r="F3" s="70" t="str">
        <x:v>% muestra</x:v>
      </x:c>
    </x:row>
    <x:row r="4">
      <x:c r="A4" t="str">
        <x:v>Productos capturados en muestra</x:v>
      </x:c>
      <x:c r="B4" t="n">
        <x:v>150</x:v>
      </x:c>
      <x:c r="D4" t="str">
        <x:v>Tecnología</x:v>
      </x:c>
      <x:c r="E4" t="n">
        <x:v>34</x:v>
      </x:c>
      <x:c r="F4" s="44" t="n">
        <x:v>0.22666666666666666</x:v>
      </x:c>
    </x:row>
    <x:row r="5">
      <x:c r="A5" t="str">
        <x:v>Categorías visibles distintas</x:v>
      </x:c>
      <x:c r="B5" t="n">
        <x:v>18</x:v>
      </x:c>
      <x:c r="D5" t="str">
        <x:v>Hogar</x:v>
      </x:c>
      <x:c r="E5" t="n">
        <x:v>31</x:v>
      </x:c>
      <x:c r="F5" s="44" t="n">
        <x:v>0.20666666666666667</x:v>
      </x:c>
    </x:row>
    <x:row r="6">
      <x:c r="A6" t="str">
        <x:v>Productos con tipo Variable visible</x:v>
      </x:c>
      <x:c r="B6" t="n">
        <x:v>22</x:v>
      </x:c>
      <x:c r="D6" t="str">
        <x:v>Belleza</x:v>
      </x:c>
      <x:c r="E6" t="n">
        <x:v>19</x:v>
      </x:c>
      <x:c r="F6" s="44" t="n">
        <x:v>0.12666666666666668</x:v>
      </x:c>
    </x:row>
    <x:row r="7">
      <x:c r="A7" t="str">
        <x:v>Productos con stock visible &lt;= 5</x:v>
      </x:c>
      <x:c r="B7" t="n">
        <x:v>7</x:v>
      </x:c>
      <x:c r="D7" t="str">
        <x:v>Cocina</x:v>
      </x:c>
      <x:c r="E7" t="n">
        <x:v>15</x:v>
      </x:c>
      <x:c r="F7" s="44" t="n">
        <x:v>0.1</x:v>
      </x:c>
    </x:row>
    <x:row r="8">
      <x:c r="A8" t="str">
        <x:v>Productos con stock no legible</x:v>
      </x:c>
      <x:c r="B8" t="n">
        <x:v>6</x:v>
      </x:c>
      <x:c r="D8" t="str">
        <x:v>Salud</x:v>
      </x:c>
      <x:c r="E8" t="n">
        <x:v>12</x:v>
      </x:c>
      <x:c r="F8" s="44" t="n">
        <x:v>0.08</x:v>
      </x:c>
    </x:row>
    <x:row r="9">
      <x:c r="A9" t="str">
        <x:v>Precio proveedor promedio visible</x:v>
      </x:c>
      <x:c r="B9" s="42" t="n">
        <x:v>39393</x:v>
      </x:c>
      <x:c r="D9" t="str">
        <x:v>Juguetería</x:v>
      </x:c>
      <x:c r="E9" t="n">
        <x:v>8</x:v>
      </x:c>
      <x:c r="F9" s="44" t="n">
        <x:v>0.05333333333333334</x:v>
      </x:c>
    </x:row>
    <x:row r="10">
      <x:c r="A10" t="str">
        <x:v>Precio sugerido promedio visible</x:v>
      </x:c>
      <x:c r="B10" s="42" t="n">
        <x:v>52702</x:v>
      </x:c>
      <x:c r="D10" t="str">
        <x:v>Herramientas</x:v>
      </x:c>
      <x:c r="E10" t="n">
        <x:v>5</x:v>
      </x:c>
      <x:c r="F10" s="44" t="n">
        <x:v>0.03333333333333333</x:v>
      </x:c>
    </x:row>
    <x:row r="11">
      <x:c r="A11" t="str">
        <x:v>Stock total visible en muestra</x:v>
      </x:c>
      <x:c r="B11" t="n">
        <x:v>33871</x:v>
      </x:c>
      <x:c r="D11" t="str">
        <x:v>Mascotas</x:v>
      </x:c>
      <x:c r="E11" t="n">
        <x:v>4</x:v>
      </x:c>
      <x:c r="F11" s="44" t="n">
        <x:v>0.02666666666666667</x:v>
      </x:c>
    </x:row>
    <x:row r="12">
      <x:c r="A12" t="str">
        <x:v>Etiqueta predominante visible</x:v>
      </x:c>
      <x:c r="B12" t="str">
        <x:v>Exclusivo</x:v>
      </x:c>
      <x:c r="D12" t="str">
        <x:v>Deportes</x:v>
      </x:c>
      <x:c r="E12" t="n">
        <x:v>4</x:v>
      </x:c>
      <x:c r="F12" s="44" t="n">
        <x:v>0.02666666666666667</x:v>
      </x:c>
    </x:row>
    <x:row r="13">
      <x:c r="D13" t="str">
        <x:v>Otro</x:v>
      </x:c>
      <x:c r="E13" t="n">
        <x:v>4</x:v>
      </x:c>
      <x:c r="F13" s="44" t="n">
        <x:v>0.02666666666666667</x:v>
      </x:c>
    </x:row>
    <x:row r="14">
      <x:c r="D14" t="str">
        <x:v>Vehículos</x:v>
      </x:c>
      <x:c r="E14" t="n">
        <x:v>3</x:v>
      </x:c>
      <x:c r="F14" s="44" t="n">
        <x:v>0.02</x:v>
      </x:c>
    </x:row>
    <x:row r="15">
      <x:c r="A15" s="70" t="str">
        <x:v>Registro</x:v>
      </x:c>
      <x:c r="B15" s="70" t="str">
        <x:v>Dato</x:v>
      </x:c>
      <x:c r="D15" t="str">
        <x:v>Ropa Deportiva</x:v>
      </x:c>
      <x:c r="E15" t="n">
        <x:v>2</x:v>
      </x:c>
      <x:c r="F15" s="44" t="n">
        <x:v>0.013333333333333334</x:v>
      </x:c>
    </x:row>
    <x:row r="16">
      <x:c r="A16" s="38" t="str">
        <x:v>Fuente</x:v>
      </x:c>
      <x:c r="B16" s="38" t="str">
        <x:v>Pantallazos de catálogo visible enviados por el usuario</x:v>
      </x:c>
      <x:c r="D16" t="str">
        <x:v>Vaporizadores</x:v>
      </x:c>
      <x:c r="E16" t="n">
        <x:v>2</x:v>
      </x:c>
      <x:c r="F16" s="44" t="n">
        <x:v>0.013333333333333334</x:v>
      </x:c>
    </x:row>
    <x:row r="17">
      <x:c r="A17" s="38" t="str">
        <x:v>Alcance</x:v>
      </x:c>
      <x:c r="B17" s="38" t="str">
        <x:v>Muestra visual, no catálogo completo</x:v>
      </x:c>
      <x:c r="D17" t="str">
        <x:v>Bebé</x:v>
      </x:c>
      <x:c r="E17" t="n">
        <x:v>2</x:v>
      </x:c>
      <x:c r="F17" s="44" t="n">
        <x:v>0.013333333333333334</x:v>
      </x:c>
    </x:row>
    <x:row r="18">
      <x:c r="A18" s="38" t="str">
        <x:v>Data no disponible en esta captura</x:v>
      </x:c>
      <x:c r="B18" s="38" t="str">
        <x:v>Órdenes por producto, GMV por producto, vistas/clics, conversión, productos privados, rotación, devoluciones</x:v>
      </x:c>
      <x:c r="D18" t="str">
        <x:v>Bisutería</x:v>
      </x:c>
      <x:c r="E18" t="n">
        <x:v>2</x:v>
      </x:c>
      <x:c r="F18" s="44" t="n">
        <x:v>0.013333333333333334</x:v>
      </x:c>
    </x:row>
    <x:row r="19">
      <x:c r="A19" s="38" t="str">
        <x:v>Uso recomendado</x:v>
      </x:c>
      <x:c r="B19" s="38" t="str">
        <x:v>Cruzar esta muestra con detalle de 10 productos y data transaccional cuando BI la entregue</x:v>
      </x:c>
      <x:c r="D19" t="str">
        <x:v>Aseo</x:v>
      </x:c>
      <x:c r="E19" t="n">
        <x:v>1</x:v>
      </x:c>
      <x:c r="F19" s="44" t="n">
        <x:v>0.006666666666666667</x:v>
      </x:c>
    </x:row>
    <x:row r="20">
      <x:c r="D20" t="str">
        <x:v>Bienestar</x:v>
      </x:c>
      <x:c r="E20" t="n">
        <x:v>1</x:v>
      </x:c>
      <x:c r="F20" s="44" t="n">
        <x:v>0.006666666666666667</x:v>
      </x:c>
    </x:row>
    <x:row r="21">
      <x:c r="D21" t="str">
        <x:v>Moda</x:v>
      </x:c>
      <x:c r="E21" t="n">
        <x:v>1</x:v>
      </x:c>
      <x:c r="F21" s="44" t="n">
        <x:v>0.006666666666666667</x:v>
      </x:c>
    </x:row>
  </x:sheetData>
  <x:mergeCells>
    <x:mergeCell ref="A1:H1"/>
  </x:mergeCells>
  <x:pageMargins left="0.7" right="0.7" top="0.75" bottom="0.75" header="0.3" footer="0.3"/>
</x:worksheet>
</file>